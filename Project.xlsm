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drawings/drawing5.xml" ContentType="application/vnd.openxmlformats-officedocument.drawing+xml"/>
  <Override PartName="/xl/slicers/slicer1.xml" ContentType="application/vnd.ms-excel.slicer+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D:\One Drive\OneDrive\سطح المكتب\"/>
    </mc:Choice>
  </mc:AlternateContent>
  <xr:revisionPtr revIDLastSave="0" documentId="13_ncr:1_{21F33144-8E3C-47C6-8359-DC03E3030553}" xr6:coauthVersionLast="47" xr6:coauthVersionMax="47" xr10:uidLastSave="{00000000-0000-0000-0000-000000000000}"/>
  <bookViews>
    <workbookView xWindow="-120" yWindow="-120" windowWidth="20730" windowHeight="11160" activeTab="4" xr2:uid="{00000000-000D-0000-FFFF-FFFF00000000}"/>
  </bookViews>
  <sheets>
    <sheet name="Form" sheetId="1" r:id="rId1"/>
    <sheet name="Employee Distribution by Depart" sheetId="5" state="hidden" r:id="rId2"/>
    <sheet name="Total Salary per Job Role" sheetId="6" state="hidden" r:id="rId3"/>
    <sheet name="Gender Distribution" sheetId="7" state="hidden" r:id="rId4"/>
    <sheet name="DataBase" sheetId="2" r:id="rId5"/>
    <sheet name="Dashboard" sheetId="3" r:id="rId6"/>
  </sheets>
  <definedNames>
    <definedName name="_xlnm.Print_Area" localSheetId="0">Form!$A$1:$AL$41</definedName>
    <definedName name="Slicer_Department">#N/A</definedName>
    <definedName name="Slicer_Gender">#N/A</definedName>
    <definedName name="Slicer_Job_Role">#N/A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 i="6" l="1"/>
  <c r="O13" i="6"/>
  <c r="O10" i="6"/>
  <c r="O8" i="6"/>
  <c r="O6" i="6"/>
  <c r="O4" i="6"/>
</calcChain>
</file>

<file path=xl/sharedStrings.xml><?xml version="1.0" encoding="utf-8"?>
<sst xmlns="http://schemas.openxmlformats.org/spreadsheetml/2006/main" count="119" uniqueCount="82">
  <si>
    <t>Employee Id</t>
  </si>
  <si>
    <t>Full name</t>
  </si>
  <si>
    <t>Phone Number</t>
  </si>
  <si>
    <t>Date of Birth</t>
  </si>
  <si>
    <t>Gender</t>
  </si>
  <si>
    <t>Email</t>
  </si>
  <si>
    <t>SN</t>
  </si>
  <si>
    <t>Male</t>
  </si>
  <si>
    <t>E001</t>
  </si>
  <si>
    <t>john doe</t>
  </si>
  <si>
    <t>E002</t>
  </si>
  <si>
    <t>jane doe</t>
  </si>
  <si>
    <t>Female</t>
  </si>
  <si>
    <t>E003</t>
  </si>
  <si>
    <t>Job Role</t>
  </si>
  <si>
    <t>Department</t>
  </si>
  <si>
    <t>Date of hire</t>
  </si>
  <si>
    <t>Monthly Salary</t>
  </si>
  <si>
    <t>8-يوليو-2025</t>
  </si>
  <si>
    <t>wdccd@gamil.com</t>
  </si>
  <si>
    <t>Sales</t>
  </si>
  <si>
    <t>Research Scientist</t>
  </si>
  <si>
    <t>9-يوليو-2025</t>
  </si>
  <si>
    <t>3-يوليو-1996</t>
  </si>
  <si>
    <t>Research &amp; Development</t>
  </si>
  <si>
    <t>1-يوليو-2025</t>
  </si>
  <si>
    <t>ali ahmed</t>
  </si>
  <si>
    <t>19-يوليو-2000</t>
  </si>
  <si>
    <t>qw@gmail.com</t>
  </si>
  <si>
    <t>16-أكتوبر-2025</t>
  </si>
  <si>
    <t>malak ahmed</t>
  </si>
  <si>
    <t>9-يونيو-1999</t>
  </si>
  <si>
    <t>wed@gmail.com</t>
  </si>
  <si>
    <t>Human Resources</t>
  </si>
  <si>
    <t>16-يوليو-2020</t>
  </si>
  <si>
    <t>E005</t>
  </si>
  <si>
    <t>nour mostafa</t>
  </si>
  <si>
    <t>5-يوليو-2000</t>
  </si>
  <si>
    <t>ddv@gmail.com</t>
  </si>
  <si>
    <t>Manufacturing Director</t>
  </si>
  <si>
    <t>18-يوليو-2018</t>
  </si>
  <si>
    <t>E004</t>
  </si>
  <si>
    <t>Row Labels</t>
  </si>
  <si>
    <t>Grand Total</t>
  </si>
  <si>
    <t>Count of Employee Id</t>
  </si>
  <si>
    <t>Average of Monthly Salary</t>
  </si>
  <si>
    <t>Employee Distribution by Department</t>
  </si>
  <si>
    <t>Total Salary per Job Role</t>
  </si>
  <si>
    <t>Gender Distribution</t>
  </si>
  <si>
    <t>Total Employees</t>
  </si>
  <si>
    <t>Average Monthly Salary</t>
  </si>
  <si>
    <t xml:space="preserve">number of males </t>
  </si>
  <si>
    <t>number of females</t>
  </si>
  <si>
    <t>percent of males</t>
  </si>
  <si>
    <t>percent of females</t>
  </si>
  <si>
    <t>walter white</t>
  </si>
  <si>
    <t>Laboratory Technician</t>
  </si>
  <si>
    <t>E007</t>
  </si>
  <si>
    <t>harry potter</t>
  </si>
  <si>
    <t>E006</t>
  </si>
  <si>
    <t>E008</t>
  </si>
  <si>
    <t>bruce wane</t>
  </si>
  <si>
    <t>Healthcare Representative</t>
  </si>
  <si>
    <t>E009</t>
  </si>
  <si>
    <t>E010</t>
  </si>
  <si>
    <t>arthur fleck</t>
  </si>
  <si>
    <t>Sales Executive</t>
  </si>
  <si>
    <t>11-يوليو-1995</t>
  </si>
  <si>
    <t>meth@gmail.com</t>
  </si>
  <si>
    <t>1-يوليو-2009</t>
  </si>
  <si>
    <t>4-يوليو-2000</t>
  </si>
  <si>
    <t>grefendor@gmail.com</t>
  </si>
  <si>
    <t>12-يوليو-2018</t>
  </si>
  <si>
    <t>batman@gmail.com</t>
  </si>
  <si>
    <t>21-يوليو-2010</t>
  </si>
  <si>
    <t>luna</t>
  </si>
  <si>
    <t>30-يوليو-2003</t>
  </si>
  <si>
    <t>sss@gmail.com</t>
  </si>
  <si>
    <t>6-يوليو-2006</t>
  </si>
  <si>
    <t>1-يوليو-2004</t>
  </si>
  <si>
    <t>Joker@gmail.com</t>
  </si>
  <si>
    <t>21-يناير-2025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</si>
</sst>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2"/>
      <color theme="1"/>
      <name val="Calibri"/>
      <family val="2"/>
      <scheme val="minor"/>
    </font>
    <font>
      <u/>
      <sz val="11"/>
      <color theme="10"/>
      <name val="Calibri"/>
      <family val="2"/>
      <scheme val="minor"/>
    </font>
    <font>
      <b/>
      <sz val="18"/>
      <color rgb="FFFFC000"/>
      <name val="Calibri"/>
      <family val="2"/>
      <scheme val="minor"/>
    </font>
    <font>
      <sz val="11"/>
      <color rgb="FFFFC000"/>
      <name val="Calibri"/>
      <family val="2"/>
      <scheme val="minor"/>
    </font>
    <font>
      <b/>
      <sz val="11"/>
      <color theme="1"/>
      <name val="Calibri"/>
      <family val="2"/>
      <scheme val="minor"/>
    </font>
    <font>
      <b/>
      <sz val="16"/>
      <color theme="1"/>
      <name val="Calibri"/>
      <family val="2"/>
      <scheme val="minor"/>
    </font>
    <font>
      <b/>
      <sz val="16"/>
      <color rgb="FF595959"/>
      <name val="Calibri"/>
      <family val="2"/>
      <scheme val="minor"/>
    </font>
  </fonts>
  <fills count="5">
    <fill>
      <patternFill patternType="none"/>
    </fill>
    <fill>
      <patternFill patternType="gray125"/>
    </fill>
    <fill>
      <patternFill patternType="solid">
        <fgColor theme="2"/>
        <bgColor indexed="64"/>
      </patternFill>
    </fill>
    <fill>
      <patternFill patternType="solid">
        <fgColor theme="6"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5">
    <xf numFmtId="0" fontId="0" fillId="0" borderId="0" xfId="0"/>
    <xf numFmtId="0" fontId="1" fillId="2" borderId="0" xfId="0" applyFont="1" applyFill="1"/>
    <xf numFmtId="14" fontId="0" fillId="0" borderId="0" xfId="0" applyNumberFormat="1"/>
    <xf numFmtId="14" fontId="1" fillId="2" borderId="0" xfId="0" applyNumberFormat="1" applyFont="1" applyFill="1"/>
    <xf numFmtId="0" fontId="0" fillId="0" borderId="0" xfId="1" applyFont="1"/>
    <xf numFmtId="0" fontId="0" fillId="3" borderId="0" xfId="0" applyFill="1"/>
    <xf numFmtId="0" fontId="0" fillId="0" borderId="0" xfId="0" pivotButton="1"/>
    <xf numFmtId="0" fontId="0" fillId="0" borderId="0" xfId="0" applyAlignment="1">
      <alignment horizontal="right"/>
    </xf>
    <xf numFmtId="0" fontId="6" fillId="0" borderId="0" xfId="0" applyFont="1"/>
    <xf numFmtId="10" fontId="0" fillId="0" borderId="0" xfId="0" applyNumberFormat="1"/>
    <xf numFmtId="0" fontId="7" fillId="0" borderId="0" xfId="0" applyFont="1" applyAlignment="1">
      <alignment horizontal="center" vertical="center" readingOrder="1"/>
    </xf>
    <xf numFmtId="0" fontId="5" fillId="0" borderId="0" xfId="0" applyFont="1"/>
    <xf numFmtId="0" fontId="3" fillId="4" borderId="0" xfId="0" applyFont="1" applyFill="1"/>
    <xf numFmtId="0" fontId="4" fillId="4" borderId="0" xfId="0" applyFont="1" applyFill="1"/>
    <xf numFmtId="0" fontId="0" fillId="4" borderId="0" xfId="0" applyFill="1"/>
  </cellXfs>
  <cellStyles count="2">
    <cellStyle name="Hyperlink" xfId="1" builtinId="8"/>
    <cellStyle name="Normal" xfId="0" builtinId="0"/>
  </cellStyles>
  <dxfs count="3">
    <dxf>
      <numFmt numFmtId="19" formatCode="dd/mm/yyyy"/>
    </dxf>
    <dxf>
      <numFmt numFmtId="19" formatCode="dd/mm/yyyy"/>
    </dxf>
    <dxf>
      <font>
        <b/>
        <i val="0"/>
        <strike val="0"/>
        <condense val="0"/>
        <extend val="0"/>
        <outline val="0"/>
        <shadow val="0"/>
        <u val="none"/>
        <vertAlign val="baseline"/>
        <sz val="12"/>
        <color theme="1"/>
        <name val="Calibri"/>
        <family val="2"/>
        <scheme val="minor"/>
      </font>
      <fill>
        <patternFill patternType="solid">
          <fgColor indexed="64"/>
          <bgColor theme="2"/>
        </patternFill>
      </fill>
    </dxf>
  </dxfs>
  <tableStyles count="0" defaultTableStyle="TableStyleMedium2" defaultPivotStyle="PivotStyleLight16"/>
  <colors>
    <mruColors>
      <color rgb="FFCC2A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[Project.xlsm]Employee Distribution by Depart!PivotTable1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Employee Distribution by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D3E5D2-2A52-4198-A427-8A316C8A6915}"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'Employee Distribution by Depart'!$B$3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E092-4873-89C6-5F9DC2104638}"/>
              </c:ext>
            </c:extLst>
          </c:dPt>
          <c:dPt>
            <c:idx val="1"/>
            <c:bubble3D val="0"/>
            <c:spPr>
              <a:solidFill>
                <a:schemeClr val="accent2"/>
              </a:solidFill>
              <a:ln>
                <a:noFill/>
              </a:ln>
              <a:effectLst/>
            </c:spPr>
            <c:extLst>
              <c:ext xmlns:c16="http://schemas.microsoft.com/office/drawing/2014/chart" uri="{C3380CC4-5D6E-409C-BE32-E72D297353CC}">
                <c16:uniqueId val="{00000004-E092-4873-89C6-5F9DC2104638}"/>
              </c:ext>
            </c:extLst>
          </c:dPt>
          <c:dPt>
            <c:idx val="2"/>
            <c:bubble3D val="0"/>
            <c:spPr>
              <a:solidFill>
                <a:schemeClr val="accent3"/>
              </a:solidFill>
              <a:ln>
                <a:noFill/>
              </a:ln>
              <a:effectLst/>
            </c:spPr>
            <c:extLst>
              <c:ext xmlns:c16="http://schemas.microsoft.com/office/drawing/2014/chart" uri="{C3380CC4-5D6E-409C-BE32-E72D297353CC}">
                <c16:uniqueId val="{00000003-E092-4873-89C6-5F9DC2104638}"/>
              </c:ext>
            </c:extLst>
          </c:dPt>
          <c:dLbls>
            <c:dLbl>
              <c:idx val="0"/>
              <c:tx>
                <c:rich>
                  <a:bodyPr/>
                  <a:lstStyle/>
                  <a:p>
                    <a:fld id="{3C03F96C-452D-4307-9A99-A0DEF040BE97}"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E092-4873-89C6-5F9DC2104638}"/>
                </c:ext>
              </c:extLst>
            </c:dLbl>
            <c:dLbl>
              <c:idx val="1"/>
              <c:tx>
                <c:rich>
                  <a:bodyPr/>
                  <a:lstStyle/>
                  <a:p>
                    <a:fld id="{BBDBB55A-7D6E-4D58-B1EE-28ECC3CA6A33}"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E092-4873-89C6-5F9DC2104638}"/>
                </c:ext>
              </c:extLst>
            </c:dLbl>
            <c:dLbl>
              <c:idx val="2"/>
              <c:tx>
                <c:rich>
                  <a:bodyPr/>
                  <a:lstStyle/>
                  <a:p>
                    <a:fld id="{F8D3E5D2-2A52-4198-A427-8A316C8A6915}"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092-4873-89C6-5F9DC21046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'Employee Distribution by Depart'!$A$4:$A$7</c:f>
              <c:strCache>
                <c:ptCount val="3"/>
                <c:pt idx="0">
                  <c:v>Human Resources</c:v>
                </c:pt>
                <c:pt idx="1">
                  <c:v>Research &amp; Development</c:v>
                </c:pt>
                <c:pt idx="2">
                  <c:v>Sales</c:v>
                </c:pt>
              </c:strCache>
            </c:strRef>
          </c:cat>
          <c:val>
            <c:numRef>
              <c:f>'Employee Distribution by Depart'!$B$4:$B$7</c:f>
              <c:numCache>
                <c:formatCode>0.00%</c:formatCode>
                <c:ptCount val="3"/>
                <c:pt idx="0">
                  <c:v>0.3</c:v>
                </c:pt>
                <c:pt idx="1">
                  <c:v>0.3</c:v>
                </c:pt>
                <c:pt idx="2">
                  <c:v>0.4</c:v>
                </c:pt>
              </c:numCache>
            </c:numRef>
          </c:val>
          <c:extLst>
            <c:ext xmlns:c16="http://schemas.microsoft.com/office/drawing/2014/chart" uri="{C3380CC4-5D6E-409C-BE32-E72D297353CC}">
              <c16:uniqueId val="{00000000-E092-4873-89C6-5F9DC2104638}"/>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[Project.xlsm]Total Salary per Job Role!PivotTable2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Total Salary per Job Role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Salary per Job Role'!$B$3</c:f>
              <c:strCache>
                <c:ptCount val="1"/>
                <c:pt idx="0">
                  <c:v>Total</c:v>
                </c:pt>
              </c:strCache>
            </c:strRef>
          </c:tx>
          <c:spPr>
            <a:solidFill>
              <a:schemeClr val="accent1"/>
            </a:solidFill>
            <a:ln>
              <a:noFill/>
            </a:ln>
            <a:effectLst/>
          </c:spPr>
          <c:invertIfNegative val="0"/>
          <c:cat>
            <c:strRef>
              <c:f>'Total Salary per Job Role'!$A$4:$A$9</c:f>
              <c:strCache>
                <c:ptCount val="5"/>
                <c:pt idx="0">
                  <c:v>Manufacturing Director</c:v>
                </c:pt>
                <c:pt idx="1">
                  <c:v>Research Scientist</c:v>
                </c:pt>
                <c:pt idx="2">
                  <c:v>Laboratory Technician</c:v>
                </c:pt>
                <c:pt idx="3">
                  <c:v>Healthcare Representative</c:v>
                </c:pt>
                <c:pt idx="4">
                  <c:v>Sales Executive</c:v>
                </c:pt>
              </c:strCache>
            </c:strRef>
          </c:cat>
          <c:val>
            <c:numRef>
              <c:f>'Total Salary per Job Role'!$B$4:$B$9</c:f>
              <c:numCache>
                <c:formatCode>General</c:formatCode>
                <c:ptCount val="5"/>
                <c:pt idx="0">
                  <c:v>55000</c:v>
                </c:pt>
                <c:pt idx="1">
                  <c:v>26666.666666666668</c:v>
                </c:pt>
                <c:pt idx="2">
                  <c:v>47500</c:v>
                </c:pt>
                <c:pt idx="3">
                  <c:v>45000</c:v>
                </c:pt>
                <c:pt idx="4">
                  <c:v>10000</c:v>
                </c:pt>
              </c:numCache>
            </c:numRef>
          </c:val>
          <c:extLst>
            <c:ext xmlns:c16="http://schemas.microsoft.com/office/drawing/2014/chart" uri="{C3380CC4-5D6E-409C-BE32-E72D297353CC}">
              <c16:uniqueId val="{00000000-9786-4C57-A52A-DC970FC3F7DD}"/>
            </c:ext>
          </c:extLst>
        </c:ser>
        <c:dLbls>
          <c:showLegendKey val="0"/>
          <c:showVal val="0"/>
          <c:showCatName val="0"/>
          <c:showSerName val="0"/>
          <c:showPercent val="0"/>
          <c:showBubbleSize val="0"/>
        </c:dLbls>
        <c:gapWidth val="219"/>
        <c:overlap val="-27"/>
        <c:axId val="1458027968"/>
        <c:axId val="1458040448"/>
      </c:barChart>
      <c:catAx>
        <c:axId val="1458027968"/>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40448"/>
        <c:crosses val="autoZero"/>
        <c:auto val="1"/>
        <c:lblAlgn val="ctr"/>
        <c:lblOffset val="100"/>
        <c:noMultiLvlLbl val="0"/>
      </c:catAx>
      <c:valAx>
        <c:axId val="145804044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27968"/>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[Project.xlsm]Gender Distribution!PivotTable3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Gender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CA2E00D-C643-4BF1-BC21-E8280929E063}"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E0B83FE-028B-4183-994B-39E63229BA47}"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'Gender Distribution'!$B$3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72A6-48E9-B940-3FB3628551C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2A6-48E9-B940-3FB3628551C4}"/>
              </c:ext>
            </c:extLst>
          </c:dPt>
          <c:dLbls>
            <c:dLbl>
              <c:idx val="0"/>
              <c:tx>
                <c:rich>
                  <a:bodyPr/>
                  <a:lstStyle/>
                  <a:p>
                    <a:fld id="{ACA2E00D-C643-4BF1-BC21-E8280929E063}" type="VALUE">
                      <a:rPr lang="en-US" sz="1000" b="1"/>
                      <a:pPr/>
                      <a:t>[VALUE]</a:t>
                    </a:fld>
                    <a:endParaRPr lang="en-US"/>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72A6-48E9-B940-3FB3628551C4}"/>
                </c:ext>
              </c:extLst>
            </c:dLbl>
            <c:dLbl>
              <c:idx val="1"/>
              <c:tx>
                <c:rich>
                  <a:bodyPr/>
                  <a:lstStyle/>
                  <a:p>
                    <a:fld id="{7E0B83FE-028B-4183-994B-39E63229BA47}" type="VALUE">
                      <a:rPr lang="en-US" sz="1000" b="1"/>
                      <a:pPr/>
                      <a:t>[VALUE]</a:t>
                    </a:fld>
                    <a:endParaRPr lang="en-US"/>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72A6-48E9-B940-3FB3628551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'Gender Distribution'!$A$4:$A$6</c:f>
              <c:strCache>
                <c:ptCount val="2"/>
                <c:pt idx="0">
                  <c:v>Female</c:v>
                </c:pt>
                <c:pt idx="1">
                  <c:v>Male</c:v>
                </c:pt>
              </c:strCache>
            </c:strRef>
          </c:cat>
          <c:val>
            <c:numRef>
              <c:f>'Gender Distribution'!$B$4:$B$6</c:f>
              <c:numCache>
                <c:formatCode>0.00%</c:formatCode>
                <c:ptCount val="2"/>
                <c:pt idx="0">
                  <c:v>0.4</c:v>
                </c:pt>
                <c:pt idx="1">
                  <c:v>0.6</c:v>
                </c:pt>
              </c:numCache>
            </c:numRef>
          </c:val>
          <c:extLst>
            <c:ext xmlns:c16="http://schemas.microsoft.com/office/drawing/2014/chart" uri="{C3380CC4-5D6E-409C-BE32-E72D297353CC}">
              <c16:uniqueId val="{00000000-72A6-48E9-B940-3FB3628551C4}"/>
            </c:ext>
          </c:extLst>
        </c:ser>
        <c:dLbls>
          <c:showLegendKey val="0"/>
          <c:showVal val="0"/>
          <c:showCatName val="0"/>
          <c:showSerName val="0"/>
          <c:showPercent val="0"/>
          <c:showBubbleSize val="0"/>
          <c:showLeaderLines val="1"/>
        </c:dLbls>
        <c:firstSliceAng val="36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[Project.xlsm]Total Salary per Job Role!PivotTable2</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1"/>
          <c:order val="0"/>
          <c:tx>
            <c:strRef>
              <c:f>'Total Salary per Job Role'!$B$3</c:f>
              <c:strCache>
                <c:ptCount val="1"/>
                <c:pt idx="0">
                  <c:v>Total</c:v>
                </c:pt>
              </c:strCache>
            </c:strRef>
          </c:tx>
          <c:invertIfNegative val="0"/>
          <c:cat>
            <c:strRef>
              <c:f>'Total Salary per Job Role'!$A$4:$A$9</c:f>
              <c:strCache>
                <c:ptCount val="5"/>
                <c:pt idx="0">
                  <c:v>Manufacturing Director</c:v>
                </c:pt>
                <c:pt idx="1">
                  <c:v>Research Scientist</c:v>
                </c:pt>
                <c:pt idx="2">
                  <c:v>Laboratory Technician</c:v>
                </c:pt>
                <c:pt idx="3">
                  <c:v>Healthcare Representative</c:v>
                </c:pt>
                <c:pt idx="4">
                  <c:v>Sales Executive</c:v>
                </c:pt>
              </c:strCache>
            </c:strRef>
          </c:cat>
          <c:val>
            <c:numRef>
              <c:f>'Total Salary per Job Role'!$B$4:$B$9</c:f>
              <c:numCache>
                <c:formatCode>General</c:formatCode>
                <c:ptCount val="5"/>
                <c:pt idx="0">
                  <c:v>55000</c:v>
                </c:pt>
                <c:pt idx="1">
                  <c:v>26666.666666666668</c:v>
                </c:pt>
                <c:pt idx="2">
                  <c:v>47500</c:v>
                </c:pt>
                <c:pt idx="3">
                  <c:v>45000</c:v>
                </c:pt>
                <c:pt idx="4">
                  <c:v>10000</c:v>
                </c:pt>
              </c:numCache>
            </c:numRef>
          </c:val>
          <c:extLst>
            <c:ext xmlns:c16="http://schemas.microsoft.com/office/drawing/2014/chart" uri="{C3380CC4-5D6E-409C-BE32-E72D297353CC}">
              <c16:uniqueId val="{00000005-D458-424A-BEAF-472082EF3334}"/>
            </c:ext>
          </c:extLst>
        </c:ser>
        <c:dLbls>
          <c:showLegendKey val="0"/>
          <c:showVal val="0"/>
          <c:showCatName val="0"/>
          <c:showSerName val="0"/>
          <c:showPercent val="0"/>
          <c:showBubbleSize val="0"/>
        </c:dLbls>
        <c:gapWidth val="219"/>
        <c:axId val="1458027968"/>
        <c:axId val="1458040448"/>
      </c:barChart>
      <c:catAx>
        <c:axId val="1458027968"/>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40448"/>
        <c:crosses val="autoZero"/>
        <c:auto val="1"/>
        <c:lblAlgn val="ctr"/>
        <c:lblOffset val="100"/>
        <c:noMultiLvlLbl val="0"/>
      </c:catAx>
      <c:valAx>
        <c:axId val="1458040448"/>
        <c:scaling>
          <c:orientation val="maxMin"/>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27968"/>
        <c:crosses val="autoZero"/>
        <c:crossBetween val="between"/>
      </c:valAx>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[Project.xlsm]Gender Distribution!PivotTable3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chemeClr val="accent3"/>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D3E5D2-2A52-4198-A427-8A316C8A6915}"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D3E5D2-2A52-4198-A427-8A316C8A6915}"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D3E5D2-2A52-4198-A427-8A316C8A6915}"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'Gender Distribution'!$B$3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10-936D-4A14-AE0F-6EE690589E31}"/>
              </c:ext>
            </c:extLst>
          </c:dPt>
          <c:dPt>
            <c:idx val="1"/>
            <c:bubble3D val="0"/>
            <c:spPr>
              <a:solidFill>
                <a:schemeClr val="accent2"/>
              </a:solidFill>
              <a:ln>
                <a:noFill/>
              </a:ln>
              <a:effectLst/>
            </c:spPr>
            <c:extLst>
              <c:ext xmlns:c16="http://schemas.microsoft.com/office/drawing/2014/chart" uri="{C3380CC4-5D6E-409C-BE32-E72D297353CC}">
                <c16:uniqueId val="{00000012-936D-4A14-AE0F-6EE690589E31}"/>
              </c:ext>
            </c:extLst>
          </c:dPt>
          <c:dPt>
            <c:idx val="2"/>
            <c:bubble3D val="0"/>
            <c:extLst>
              <c:ext xmlns:c16="http://schemas.microsoft.com/office/drawing/2014/chart" uri="{C3380CC4-5D6E-409C-BE32-E72D297353CC}">
                <c16:uniqueId val="{00000014-936D-4A14-AE0F-6EE690589E31}"/>
              </c:ext>
            </c:extLst>
          </c:dPt>
          <c:dLbls>
            <c:dLbl>
              <c:idx val="0"/>
              <c:tx>
                <c:rich>
                  <a:bodyPr/>
                  <a:lstStyle/>
                  <a:p>
                    <a:fld id="{3C03F96C-452D-4307-9A99-A0DEF040BE97}"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0-936D-4A14-AE0F-6EE690589E31}"/>
                </c:ext>
              </c:extLst>
            </c:dLbl>
            <c:dLbl>
              <c:idx val="1"/>
              <c:tx>
                <c:rich>
                  <a:bodyPr/>
                  <a:lstStyle/>
                  <a:p>
                    <a:fld id="{BBDBB55A-7D6E-4D58-B1EE-28ECC3CA6A33}"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2-936D-4A14-AE0F-6EE690589E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'Gender Distribution'!$A$4:$A$6</c:f>
              <c:strCache>
                <c:ptCount val="2"/>
                <c:pt idx="0">
                  <c:v>Female</c:v>
                </c:pt>
                <c:pt idx="1">
                  <c:v>Male</c:v>
                </c:pt>
              </c:strCache>
            </c:strRef>
          </c:cat>
          <c:val>
            <c:numRef>
              <c:f>'Gender Distribution'!$B$4:$B$6</c:f>
              <c:numCache>
                <c:formatCode>0.00%</c:formatCode>
                <c:ptCount val="2"/>
                <c:pt idx="0">
                  <c:v>0.4</c:v>
                </c:pt>
                <c:pt idx="1">
                  <c:v>0.6</c:v>
                </c:pt>
              </c:numCache>
            </c:numRef>
          </c:val>
          <c:extLst>
            <c:ext xmlns:c16="http://schemas.microsoft.com/office/drawing/2014/chart" uri="{C3380CC4-5D6E-409C-BE32-E72D297353CC}">
              <c16:uniqueId val="{00000015-936D-4A14-AE0F-6EE690589E31}"/>
            </c:ext>
          </c:extLst>
        </c:ser>
        <c:dLbls>
          <c:dLblPos val="ctr"/>
          <c:showLegendKey val="0"/>
          <c:showVal val="1"/>
          <c:showCatName val="0"/>
          <c:showSerName val="0"/>
          <c:showPercent val="0"/>
          <c:showBubbleSize val="0"/>
          <c:showLeaderLines val="1"/>
        </c:dLbls>
        <c:firstSliceAng val="0"/>
      </c:pieChart>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8" Type="http://schemas.openxmlformats.org/officeDocument/2006/relationships/hyperlink" Target="#DataBase!A1"/><Relationship Id="rId3" Type="http://schemas.openxmlformats.org/officeDocument/2006/relationships/chart" Target="../charts/chart4.xml"/><Relationship Id="rId7" Type="http://schemas.openxmlformats.org/officeDocument/2006/relationships/image" Target="../media/image5.png"/><Relationship Id="rId12"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Form!A1"/><Relationship Id="rId4" Type="http://schemas.openxmlformats.org/officeDocument/2006/relationships/chart" Target="../charts/chart5.xml"/><Relationship Id="rId9"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5</xdr:col>
      <xdr:colOff>257175</xdr:colOff>
      <xdr:row>5</xdr:row>
      <xdr:rowOff>9525</xdr:rowOff>
    </xdr:from>
    <xdr:to>
      <xdr:col>10</xdr:col>
      <xdr:colOff>285750</xdr:colOff>
      <xdr:row>10</xdr:row>
      <xdr:rowOff>173025</xdr:rowOff>
    </xdr:to>
    <xdr:sp macro="[0]!launchform" textlink="">
      <xdr:nvSpPr>
        <xdr:cNvPr id="2" name="Rectangle: Rounded Corners 1">
          <a:extLst>
            <a:ext uri="{FF2B5EF4-FFF2-40B4-BE49-F238E27FC236}">
              <a16:creationId xmlns:a16="http://schemas.microsoft.com/office/drawing/2014/main" id="{46ECDE84-D013-E1D9-EA21-3AFE5B4346EC}"/>
            </a:ext>
          </a:extLst>
        </xdr:cNvPr>
        <xdr:cNvSpPr/>
      </xdr:nvSpPr>
      <xdr:spPr>
        <a:xfrm>
          <a:off x="3305175" y="962025"/>
          <a:ext cx="3076575" cy="1116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6</xdr:col>
      <xdr:colOff>333374</xdr:colOff>
      <xdr:row>6</xdr:row>
      <xdr:rowOff>161925</xdr:rowOff>
    </xdr:from>
    <xdr:to>
      <xdr:col>9</xdr:col>
      <xdr:colOff>380999</xdr:colOff>
      <xdr:row>9</xdr:row>
      <xdr:rowOff>57150</xdr:rowOff>
    </xdr:to>
    <xdr:sp macro="" textlink="">
      <xdr:nvSpPr>
        <xdr:cNvPr id="3" name="TextBox 2">
          <a:extLst>
            <a:ext uri="{FF2B5EF4-FFF2-40B4-BE49-F238E27FC236}">
              <a16:creationId xmlns:a16="http://schemas.microsoft.com/office/drawing/2014/main" id="{3751F310-6540-034F-A236-BB7E89937CB7}"/>
            </a:ext>
          </a:extLst>
        </xdr:cNvPr>
        <xdr:cNvSpPr txBox="1"/>
      </xdr:nvSpPr>
      <xdr:spPr>
        <a:xfrm>
          <a:off x="3990974" y="1304925"/>
          <a:ext cx="1876425" cy="466725"/>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Start Data Entry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495300</xdr:colOff>
      <xdr:row>0</xdr:row>
      <xdr:rowOff>147637</xdr:rowOff>
    </xdr:from>
    <xdr:to>
      <xdr:col>10</xdr:col>
      <xdr:colOff>190500</xdr:colOff>
      <xdr:row>15</xdr:row>
      <xdr:rowOff>33337</xdr:rowOff>
    </xdr:to>
    <xdr:graphicFrame macro="">
      <xdr:nvGraphicFramePr>
        <xdr:cNvPr id="2" name="Chart 1">
          <a:extLst>
            <a:ext uri="{FF2B5EF4-FFF2-40B4-BE49-F238E27FC236}">
              <a16:creationId xmlns:a16="http://schemas.microsoft.com/office/drawing/2014/main" id="{D75F64D3-91C4-687A-E2C9-B1A9CD4ADC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600075</xdr:colOff>
      <xdr:row>0</xdr:row>
      <xdr:rowOff>71437</xdr:rowOff>
    </xdr:from>
    <xdr:to>
      <xdr:col>10</xdr:col>
      <xdr:colOff>295275</xdr:colOff>
      <xdr:row>14</xdr:row>
      <xdr:rowOff>147637</xdr:rowOff>
    </xdr:to>
    <xdr:graphicFrame macro="">
      <xdr:nvGraphicFramePr>
        <xdr:cNvPr id="2" name="Chart 1">
          <a:extLst>
            <a:ext uri="{FF2B5EF4-FFF2-40B4-BE49-F238E27FC236}">
              <a16:creationId xmlns:a16="http://schemas.microsoft.com/office/drawing/2014/main" id="{AA134203-069F-218F-CAAD-071200E19E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190500</xdr:colOff>
      <xdr:row>0</xdr:row>
      <xdr:rowOff>128587</xdr:rowOff>
    </xdr:from>
    <xdr:to>
      <xdr:col>10</xdr:col>
      <xdr:colOff>495300</xdr:colOff>
      <xdr:row>14</xdr:row>
      <xdr:rowOff>128587</xdr:rowOff>
    </xdr:to>
    <xdr:graphicFrame macro="">
      <xdr:nvGraphicFramePr>
        <xdr:cNvPr id="2" name="Chart 1">
          <a:extLst>
            <a:ext uri="{FF2B5EF4-FFF2-40B4-BE49-F238E27FC236}">
              <a16:creationId xmlns:a16="http://schemas.microsoft.com/office/drawing/2014/main" id="{AA0CED00-7DCA-DE1E-C57E-C5DAADE664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89646</xdr:colOff>
      <xdr:row>0</xdr:row>
      <xdr:rowOff>78440</xdr:rowOff>
    </xdr:from>
    <xdr:to>
      <xdr:col>17</xdr:col>
      <xdr:colOff>481853</xdr:colOff>
      <xdr:row>5</xdr:row>
      <xdr:rowOff>11206</xdr:rowOff>
    </xdr:to>
    <xdr:sp macro="" textlink="">
      <xdr:nvSpPr>
        <xdr:cNvPr id="5" name="Rectangle: Rounded Corners 4">
          <a:extLst>
            <a:ext uri="{FF2B5EF4-FFF2-40B4-BE49-F238E27FC236}">
              <a16:creationId xmlns:a16="http://schemas.microsoft.com/office/drawing/2014/main" id="{6F6386B1-1AB9-46BE-B2D0-D4C8F2016D72}"/>
            </a:ext>
          </a:extLst>
        </xdr:cNvPr>
        <xdr:cNvSpPr/>
      </xdr:nvSpPr>
      <xdr:spPr>
        <a:xfrm>
          <a:off x="1299881" y="78440"/>
          <a:ext cx="9468972" cy="986119"/>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200" b="1">
              <a:solidFill>
                <a:srgbClr val="FF0000"/>
              </a:solidFill>
            </a:rPr>
            <a:t>Dynamic</a:t>
          </a:r>
          <a:r>
            <a:rPr lang="en-US" sz="3200" b="1" baseline="0">
              <a:solidFill>
                <a:srgbClr val="FF0000"/>
              </a:solidFill>
            </a:rPr>
            <a:t> </a:t>
          </a:r>
          <a:r>
            <a:rPr lang="en-US" sz="3200" b="1">
              <a:solidFill>
                <a:srgbClr val="FF0000"/>
              </a:solidFill>
            </a:rPr>
            <a:t>Employee Data Dashboard </a:t>
          </a:r>
        </a:p>
        <a:p>
          <a:pPr algn="l"/>
          <a:r>
            <a:rPr lang="en-US" sz="1200" b="1">
              <a:solidFill>
                <a:schemeClr val="accent2">
                  <a:lumMod val="75000"/>
                </a:schemeClr>
              </a:solidFill>
            </a:rPr>
            <a:t>Real-time insights into your workforce</a:t>
          </a:r>
          <a:br>
            <a:rPr lang="en-US" sz="1200">
              <a:solidFill>
                <a:schemeClr val="accent2">
                  <a:lumMod val="75000"/>
                </a:schemeClr>
              </a:solidFill>
            </a:rPr>
          </a:br>
          <a:endParaRPr lang="en-US" sz="1400">
            <a:solidFill>
              <a:schemeClr val="accent2">
                <a:lumMod val="75000"/>
              </a:schemeClr>
            </a:solidFill>
          </a:endParaRPr>
        </a:p>
      </xdr:txBody>
    </xdr:sp>
    <xdr:clientData/>
  </xdr:twoCellAnchor>
  <xdr:twoCellAnchor>
    <xdr:from>
      <xdr:col>2</xdr:col>
      <xdr:colOff>112058</xdr:colOff>
      <xdr:row>6</xdr:row>
      <xdr:rowOff>11207</xdr:rowOff>
    </xdr:from>
    <xdr:to>
      <xdr:col>7</xdr:col>
      <xdr:colOff>134470</xdr:colOff>
      <xdr:row>15</xdr:row>
      <xdr:rowOff>67237</xdr:rowOff>
    </xdr:to>
    <xdr:sp macro="" textlink="">
      <xdr:nvSpPr>
        <xdr:cNvPr id="6" name="Rectangle: Rounded Corners 5">
          <a:extLst>
            <a:ext uri="{FF2B5EF4-FFF2-40B4-BE49-F238E27FC236}">
              <a16:creationId xmlns:a16="http://schemas.microsoft.com/office/drawing/2014/main" id="{401A1A0B-BB13-438E-B9C2-B8E6BAC384D9}"/>
            </a:ext>
          </a:extLst>
        </xdr:cNvPr>
        <xdr:cNvSpPr/>
      </xdr:nvSpPr>
      <xdr:spPr>
        <a:xfrm>
          <a:off x="1322293" y="1255060"/>
          <a:ext cx="3048001" cy="1770530"/>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2"/>
              </a:solidFill>
            </a:rPr>
            <a:t>Total Employees</a:t>
          </a:r>
          <a:endParaRPr lang="en-US" sz="1600" b="1">
            <a:solidFill>
              <a:schemeClr val="accent2"/>
            </a:solidFill>
          </a:endParaRPr>
        </a:p>
      </xdr:txBody>
    </xdr:sp>
    <xdr:clientData/>
  </xdr:twoCellAnchor>
  <xdr:twoCellAnchor>
    <xdr:from>
      <xdr:col>7</xdr:col>
      <xdr:colOff>268941</xdr:colOff>
      <xdr:row>5</xdr:row>
      <xdr:rowOff>168088</xdr:rowOff>
    </xdr:from>
    <xdr:to>
      <xdr:col>13</xdr:col>
      <xdr:colOff>0</xdr:colOff>
      <xdr:row>15</xdr:row>
      <xdr:rowOff>156882</xdr:rowOff>
    </xdr:to>
    <xdr:sp macro="" textlink="">
      <xdr:nvSpPr>
        <xdr:cNvPr id="7" name="Rectangle: Rounded Corners 6">
          <a:extLst>
            <a:ext uri="{FF2B5EF4-FFF2-40B4-BE49-F238E27FC236}">
              <a16:creationId xmlns:a16="http://schemas.microsoft.com/office/drawing/2014/main" id="{EB28DB44-3C5D-41AB-980F-DE6F8982A307}"/>
            </a:ext>
          </a:extLst>
        </xdr:cNvPr>
        <xdr:cNvSpPr/>
      </xdr:nvSpPr>
      <xdr:spPr>
        <a:xfrm>
          <a:off x="4504765" y="1221441"/>
          <a:ext cx="3361764" cy="1893794"/>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2"/>
              </a:solidFill>
            </a:rPr>
            <a:t>     Male</a:t>
          </a:r>
          <a:endParaRPr lang="en-US" sz="1600" b="1">
            <a:solidFill>
              <a:schemeClr val="accent2"/>
            </a:solidFill>
          </a:endParaRPr>
        </a:p>
      </xdr:txBody>
    </xdr:sp>
    <xdr:clientData/>
  </xdr:twoCellAnchor>
  <xdr:twoCellAnchor>
    <xdr:from>
      <xdr:col>13</xdr:col>
      <xdr:colOff>100853</xdr:colOff>
      <xdr:row>5</xdr:row>
      <xdr:rowOff>156882</xdr:rowOff>
    </xdr:from>
    <xdr:to>
      <xdr:col>17</xdr:col>
      <xdr:colOff>537882</xdr:colOff>
      <xdr:row>15</xdr:row>
      <xdr:rowOff>112059</xdr:rowOff>
    </xdr:to>
    <xdr:sp macro="" textlink="">
      <xdr:nvSpPr>
        <xdr:cNvPr id="8" name="Rectangle: Rounded Corners 7">
          <a:extLst>
            <a:ext uri="{FF2B5EF4-FFF2-40B4-BE49-F238E27FC236}">
              <a16:creationId xmlns:a16="http://schemas.microsoft.com/office/drawing/2014/main" id="{75A23C6C-45C0-4165-99CA-C4BFAB2D07D3}"/>
            </a:ext>
          </a:extLst>
        </xdr:cNvPr>
        <xdr:cNvSpPr/>
      </xdr:nvSpPr>
      <xdr:spPr>
        <a:xfrm>
          <a:off x="7967382" y="1210235"/>
          <a:ext cx="2857500" cy="1860177"/>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2"/>
              </a:solidFill>
            </a:rPr>
            <a:t>Average Monthly Salary</a:t>
          </a:r>
        </a:p>
      </xdr:txBody>
    </xdr:sp>
    <xdr:clientData/>
  </xdr:twoCellAnchor>
  <xdr:twoCellAnchor>
    <xdr:from>
      <xdr:col>2</xdr:col>
      <xdr:colOff>22412</xdr:colOff>
      <xdr:row>18</xdr:row>
      <xdr:rowOff>22412</xdr:rowOff>
    </xdr:from>
    <xdr:to>
      <xdr:col>10</xdr:col>
      <xdr:colOff>616324</xdr:colOff>
      <xdr:row>36</xdr:row>
      <xdr:rowOff>123265</xdr:rowOff>
    </xdr:to>
    <xdr:sp macro="" textlink="">
      <xdr:nvSpPr>
        <xdr:cNvPr id="9" name="Rectangle: Rounded Corners 8">
          <a:extLst>
            <a:ext uri="{FF2B5EF4-FFF2-40B4-BE49-F238E27FC236}">
              <a16:creationId xmlns:a16="http://schemas.microsoft.com/office/drawing/2014/main" id="{6349B935-53FA-45C8-AC45-7DCEB56BCF16}"/>
            </a:ext>
          </a:extLst>
        </xdr:cNvPr>
        <xdr:cNvSpPr/>
      </xdr:nvSpPr>
      <xdr:spPr>
        <a:xfrm>
          <a:off x="1394012" y="3403787"/>
          <a:ext cx="6080312" cy="3358403"/>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US" sz="2000" b="1" i="0" baseline="0">
              <a:solidFill>
                <a:schemeClr val="accent2"/>
              </a:solidFill>
              <a:effectLst/>
              <a:latin typeface="+mn-lt"/>
              <a:ea typeface="+mn-ea"/>
              <a:cs typeface="+mn-cs"/>
            </a:rPr>
            <a:t>Total Salary per Job Role</a:t>
          </a:r>
          <a:endParaRPr lang="en-US" sz="4000" b="1">
            <a:solidFill>
              <a:schemeClr val="accent2"/>
            </a:solidFill>
            <a:effectLst/>
          </a:endParaRPr>
        </a:p>
      </xdr:txBody>
    </xdr:sp>
    <xdr:clientData/>
  </xdr:twoCellAnchor>
  <xdr:twoCellAnchor>
    <xdr:from>
      <xdr:col>11</xdr:col>
      <xdr:colOff>89648</xdr:colOff>
      <xdr:row>17</xdr:row>
      <xdr:rowOff>100852</xdr:rowOff>
    </xdr:from>
    <xdr:to>
      <xdr:col>17</xdr:col>
      <xdr:colOff>336176</xdr:colOff>
      <xdr:row>36</xdr:row>
      <xdr:rowOff>145676</xdr:rowOff>
    </xdr:to>
    <xdr:sp macro="" textlink="">
      <xdr:nvSpPr>
        <xdr:cNvPr id="10" name="Rectangle: Rounded Corners 9">
          <a:extLst>
            <a:ext uri="{FF2B5EF4-FFF2-40B4-BE49-F238E27FC236}">
              <a16:creationId xmlns:a16="http://schemas.microsoft.com/office/drawing/2014/main" id="{F610C33D-EA21-499F-8777-8C2D161C3CAA}"/>
            </a:ext>
          </a:extLst>
        </xdr:cNvPr>
        <xdr:cNvSpPr/>
      </xdr:nvSpPr>
      <xdr:spPr>
        <a:xfrm>
          <a:off x="7633448" y="3301252"/>
          <a:ext cx="4361328" cy="3483349"/>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US" sz="1600" b="1" i="0" baseline="0">
              <a:solidFill>
                <a:schemeClr val="accent2"/>
              </a:solidFill>
              <a:effectLst/>
              <a:latin typeface="+mn-lt"/>
              <a:ea typeface="+mn-ea"/>
              <a:cs typeface="+mn-cs"/>
            </a:rPr>
            <a:t>Employee Distribution by Department</a:t>
          </a:r>
          <a:endParaRPr lang="en-US" sz="3200" b="1">
            <a:solidFill>
              <a:schemeClr val="accent2"/>
            </a:solidFill>
            <a:effectLst/>
          </a:endParaRPr>
        </a:p>
      </xdr:txBody>
    </xdr:sp>
    <xdr:clientData/>
  </xdr:twoCellAnchor>
  <xdr:twoCellAnchor>
    <xdr:from>
      <xdr:col>18</xdr:col>
      <xdr:colOff>1761</xdr:colOff>
      <xdr:row>0</xdr:row>
      <xdr:rowOff>0</xdr:rowOff>
    </xdr:from>
    <xdr:to>
      <xdr:col>21</xdr:col>
      <xdr:colOff>324969</xdr:colOff>
      <xdr:row>36</xdr:row>
      <xdr:rowOff>108857</xdr:rowOff>
    </xdr:to>
    <xdr:sp macro="" textlink="">
      <xdr:nvSpPr>
        <xdr:cNvPr id="11" name="Rectangle: Rounded Corners 10">
          <a:extLst>
            <a:ext uri="{FF2B5EF4-FFF2-40B4-BE49-F238E27FC236}">
              <a16:creationId xmlns:a16="http://schemas.microsoft.com/office/drawing/2014/main" id="{AC230D80-6C4C-4641-8FB1-BA4D8CAB47A4}"/>
            </a:ext>
          </a:extLst>
        </xdr:cNvPr>
        <xdr:cNvSpPr/>
      </xdr:nvSpPr>
      <xdr:spPr>
        <a:xfrm>
          <a:off x="10893879" y="0"/>
          <a:ext cx="2138561" cy="7067710"/>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CC2A0A"/>
              </a:solidFill>
            </a:rPr>
            <a:t>Customize View</a:t>
          </a:r>
        </a:p>
      </xdr:txBody>
    </xdr:sp>
    <xdr:clientData/>
  </xdr:twoCellAnchor>
  <xdr:twoCellAnchor>
    <xdr:from>
      <xdr:col>3</xdr:col>
      <xdr:colOff>112055</xdr:colOff>
      <xdr:row>8</xdr:row>
      <xdr:rowOff>190499</xdr:rowOff>
    </xdr:from>
    <xdr:to>
      <xdr:col>5</xdr:col>
      <xdr:colOff>11205</xdr:colOff>
      <xdr:row>14</xdr:row>
      <xdr:rowOff>1</xdr:rowOff>
    </xdr:to>
    <xdr:sp macro="" textlink="'Total Salary per Job Role'!O4">
      <xdr:nvSpPr>
        <xdr:cNvPr id="13" name="TextBox 12">
          <a:extLst>
            <a:ext uri="{FF2B5EF4-FFF2-40B4-BE49-F238E27FC236}">
              <a16:creationId xmlns:a16="http://schemas.microsoft.com/office/drawing/2014/main" id="{9A4BC19B-0209-4D52-8BBE-0B6514CDF9C7}"/>
            </a:ext>
          </a:extLst>
        </xdr:cNvPr>
        <xdr:cNvSpPr txBox="1"/>
      </xdr:nvSpPr>
      <xdr:spPr>
        <a:xfrm>
          <a:off x="1927408" y="1815352"/>
          <a:ext cx="1109385" cy="9525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15A788B-9002-4AC0-8507-8ED65712CD25}" type="TxLink">
            <a:rPr lang="en-US" sz="5400" b="1" i="0" u="none" strike="noStrike" cap="none" spc="0">
              <a:ln w="0"/>
              <a:solidFill>
                <a:srgbClr val="CC2A0A"/>
              </a:solidFill>
              <a:effectLst>
                <a:outerShdw blurRad="38100" dist="25400" dir="5400000" algn="ctr" rotWithShape="0">
                  <a:srgbClr val="6E747A">
                    <a:alpha val="43000"/>
                  </a:srgbClr>
                </a:outerShdw>
              </a:effectLst>
              <a:latin typeface="Calibri"/>
              <a:cs typeface="Calibri"/>
            </a:rPr>
            <a:pPr/>
            <a:t>10</a:t>
          </a:fld>
          <a:endParaRPr lang="en-US" sz="49600" b="1" cap="none" spc="0">
            <a:ln w="0"/>
            <a:solidFill>
              <a:srgbClr val="CC2A0A"/>
            </a:solidFill>
            <a:effectLst>
              <a:outerShdw blurRad="38100" dist="25400" dir="5400000" algn="ctr" rotWithShape="0">
                <a:srgbClr val="6E747A">
                  <a:alpha val="43000"/>
                </a:srgbClr>
              </a:outerShdw>
            </a:effectLst>
          </a:endParaRPr>
        </a:p>
      </xdr:txBody>
    </xdr:sp>
    <xdr:clientData/>
  </xdr:twoCellAnchor>
  <xdr:twoCellAnchor>
    <xdr:from>
      <xdr:col>13</xdr:col>
      <xdr:colOff>213473</xdr:colOff>
      <xdr:row>9</xdr:row>
      <xdr:rowOff>156881</xdr:rowOff>
    </xdr:from>
    <xdr:to>
      <xdr:col>17</xdr:col>
      <xdr:colOff>280147</xdr:colOff>
      <xdr:row>15</xdr:row>
      <xdr:rowOff>11206</xdr:rowOff>
    </xdr:to>
    <xdr:sp macro="" textlink="'Total Salary per Job Role'!O6">
      <xdr:nvSpPr>
        <xdr:cNvPr id="14" name="TextBox 13">
          <a:extLst>
            <a:ext uri="{FF2B5EF4-FFF2-40B4-BE49-F238E27FC236}">
              <a16:creationId xmlns:a16="http://schemas.microsoft.com/office/drawing/2014/main" id="{7937F8C4-A9A2-4C92-A271-104AE4C9B4E6}"/>
            </a:ext>
          </a:extLst>
        </xdr:cNvPr>
        <xdr:cNvSpPr txBox="1"/>
      </xdr:nvSpPr>
      <xdr:spPr>
        <a:xfrm>
          <a:off x="8080002" y="1972234"/>
          <a:ext cx="2487145" cy="997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5B0EC64-9980-4FF4-AB2B-E34B0AA9F5DB}" type="TxLink">
            <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rPr>
            <a:pPr marL="0" indent="0"/>
            <a:t>38500</a:t>
          </a:fld>
          <a:endPar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editAs="oneCell">
    <xdr:from>
      <xdr:col>5</xdr:col>
      <xdr:colOff>67235</xdr:colOff>
      <xdr:row>7</xdr:row>
      <xdr:rowOff>67234</xdr:rowOff>
    </xdr:from>
    <xdr:to>
      <xdr:col>7</xdr:col>
      <xdr:colOff>286870</xdr:colOff>
      <xdr:row>14</xdr:row>
      <xdr:rowOff>181535</xdr:rowOff>
    </xdr:to>
    <xdr:pic>
      <xdr:nvPicPr>
        <xdr:cNvPr id="15" name="Picture 14">
          <a:extLst>
            <a:ext uri="{FF2B5EF4-FFF2-40B4-BE49-F238E27FC236}">
              <a16:creationId xmlns:a16="http://schemas.microsoft.com/office/drawing/2014/main" id="{6F62441B-DE25-4237-A792-3B9C36A525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6235" y="1457884"/>
          <a:ext cx="1438835" cy="1447801"/>
        </a:xfrm>
        <a:prstGeom prst="rect">
          <a:avLst/>
        </a:prstGeom>
      </xdr:spPr>
    </xdr:pic>
    <xdr:clientData/>
  </xdr:twoCellAnchor>
  <xdr:twoCellAnchor editAs="oneCell">
    <xdr:from>
      <xdr:col>16</xdr:col>
      <xdr:colOff>392205</xdr:colOff>
      <xdr:row>7</xdr:row>
      <xdr:rowOff>179294</xdr:rowOff>
    </xdr:from>
    <xdr:to>
      <xdr:col>17</xdr:col>
      <xdr:colOff>513229</xdr:colOff>
      <xdr:row>12</xdr:row>
      <xdr:rowOff>42021</xdr:rowOff>
    </xdr:to>
    <xdr:pic>
      <xdr:nvPicPr>
        <xdr:cNvPr id="17" name="Picture 16">
          <a:extLst>
            <a:ext uri="{FF2B5EF4-FFF2-40B4-BE49-F238E27FC236}">
              <a16:creationId xmlns:a16="http://schemas.microsoft.com/office/drawing/2014/main" id="{AB658DDC-D9C3-4764-885A-FAEC6409BCF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74087" y="1613647"/>
          <a:ext cx="726142" cy="815227"/>
        </a:xfrm>
        <a:prstGeom prst="rect">
          <a:avLst/>
        </a:prstGeom>
      </xdr:spPr>
    </xdr:pic>
    <xdr:clientData/>
  </xdr:twoCellAnchor>
  <xdr:twoCellAnchor>
    <xdr:from>
      <xdr:col>2</xdr:col>
      <xdr:colOff>358588</xdr:colOff>
      <xdr:row>21</xdr:row>
      <xdr:rowOff>1</xdr:rowOff>
    </xdr:from>
    <xdr:to>
      <xdr:col>10</xdr:col>
      <xdr:colOff>89647</xdr:colOff>
      <xdr:row>36</xdr:row>
      <xdr:rowOff>53789</xdr:rowOff>
    </xdr:to>
    <xdr:graphicFrame macro="">
      <xdr:nvGraphicFramePr>
        <xdr:cNvPr id="18" name="Chart 17">
          <a:extLst>
            <a:ext uri="{FF2B5EF4-FFF2-40B4-BE49-F238E27FC236}">
              <a16:creationId xmlns:a16="http://schemas.microsoft.com/office/drawing/2014/main" id="{04F2C7A3-5935-4E31-9068-F720281FF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212912</xdr:colOff>
      <xdr:row>20</xdr:row>
      <xdr:rowOff>190499</xdr:rowOff>
    </xdr:from>
    <xdr:to>
      <xdr:col>17</xdr:col>
      <xdr:colOff>168089</xdr:colOff>
      <xdr:row>35</xdr:row>
      <xdr:rowOff>123263</xdr:rowOff>
    </xdr:to>
    <xdr:graphicFrame macro="">
      <xdr:nvGraphicFramePr>
        <xdr:cNvPr id="19" name="Chart 18">
          <a:extLst>
            <a:ext uri="{FF2B5EF4-FFF2-40B4-BE49-F238E27FC236}">
              <a16:creationId xmlns:a16="http://schemas.microsoft.com/office/drawing/2014/main" id="{7318AA78-E660-48F3-B4DC-1150FED041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134471</xdr:colOff>
      <xdr:row>5</xdr:row>
      <xdr:rowOff>168088</xdr:rowOff>
    </xdr:from>
    <xdr:to>
      <xdr:col>10</xdr:col>
      <xdr:colOff>134471</xdr:colOff>
      <xdr:row>15</xdr:row>
      <xdr:rowOff>156882</xdr:rowOff>
    </xdr:to>
    <xdr:cxnSp macro="">
      <xdr:nvCxnSpPr>
        <xdr:cNvPr id="24" name="Straight Connector 23">
          <a:extLst>
            <a:ext uri="{FF2B5EF4-FFF2-40B4-BE49-F238E27FC236}">
              <a16:creationId xmlns:a16="http://schemas.microsoft.com/office/drawing/2014/main" id="{E8DBABF0-019A-FD75-95D8-BA009B879998}"/>
            </a:ext>
          </a:extLst>
        </xdr:cNvPr>
        <xdr:cNvCxnSpPr>
          <a:stCxn id="7" idx="0"/>
          <a:endCxn id="7" idx="2"/>
        </xdr:cNvCxnSpPr>
      </xdr:nvCxnSpPr>
      <xdr:spPr>
        <a:xfrm>
          <a:off x="6185647" y="1221441"/>
          <a:ext cx="0" cy="1893794"/>
        </a:xfrm>
        <a:prstGeom prst="line">
          <a:avLst/>
        </a:prstGeom>
        <a:effectLst>
          <a:outerShdw blurRad="50800" dist="38100" dir="2700000" algn="tl" rotWithShape="0">
            <a:prstClr val="black">
              <a:alpha val="40000"/>
            </a:prstClr>
          </a:outerShdw>
        </a:effectLst>
      </xdr:spPr>
      <xdr:style>
        <a:lnRef idx="1">
          <a:schemeClr val="accent2"/>
        </a:lnRef>
        <a:fillRef idx="0">
          <a:schemeClr val="accent2"/>
        </a:fillRef>
        <a:effectRef idx="0">
          <a:schemeClr val="accent2"/>
        </a:effectRef>
        <a:fontRef idx="minor">
          <a:schemeClr val="tx1"/>
        </a:fontRef>
      </xdr:style>
    </xdr:cxnSp>
    <xdr:clientData/>
  </xdr:twoCellAnchor>
  <xdr:twoCellAnchor>
    <xdr:from>
      <xdr:col>10</xdr:col>
      <xdr:colOff>403412</xdr:colOff>
      <xdr:row>6</xdr:row>
      <xdr:rowOff>67236</xdr:rowOff>
    </xdr:from>
    <xdr:to>
      <xdr:col>12</xdr:col>
      <xdr:colOff>190499</xdr:colOff>
      <xdr:row>8</xdr:row>
      <xdr:rowOff>44824</xdr:rowOff>
    </xdr:to>
    <xdr:sp macro="" textlink="">
      <xdr:nvSpPr>
        <xdr:cNvPr id="25" name="TextBox 24">
          <a:extLst>
            <a:ext uri="{FF2B5EF4-FFF2-40B4-BE49-F238E27FC236}">
              <a16:creationId xmlns:a16="http://schemas.microsoft.com/office/drawing/2014/main" id="{B3E366A3-5839-9B78-C95E-8A7BD3889A01}"/>
            </a:ext>
          </a:extLst>
        </xdr:cNvPr>
        <xdr:cNvSpPr txBox="1"/>
      </xdr:nvSpPr>
      <xdr:spPr>
        <a:xfrm>
          <a:off x="6454588" y="1311089"/>
          <a:ext cx="997323" cy="3585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1">
              <a:solidFill>
                <a:schemeClr val="accent2"/>
              </a:solidFill>
              <a:latin typeface="+mn-lt"/>
              <a:ea typeface="+mn-ea"/>
              <a:cs typeface="+mn-cs"/>
            </a:rPr>
            <a:t>Female</a:t>
          </a:r>
        </a:p>
        <a:p>
          <a:endParaRPr lang="en-US" sz="1100"/>
        </a:p>
      </xdr:txBody>
    </xdr:sp>
    <xdr:clientData/>
  </xdr:twoCellAnchor>
  <xdr:twoCellAnchor editAs="oneCell">
    <xdr:from>
      <xdr:col>9</xdr:col>
      <xdr:colOff>179293</xdr:colOff>
      <xdr:row>18</xdr:row>
      <xdr:rowOff>179295</xdr:rowOff>
    </xdr:from>
    <xdr:to>
      <xdr:col>10</xdr:col>
      <xdr:colOff>221876</xdr:colOff>
      <xdr:row>22</xdr:row>
      <xdr:rowOff>62753</xdr:rowOff>
    </xdr:to>
    <xdr:pic>
      <xdr:nvPicPr>
        <xdr:cNvPr id="16" name="Picture 15">
          <a:extLst>
            <a:ext uri="{FF2B5EF4-FFF2-40B4-BE49-F238E27FC236}">
              <a16:creationId xmlns:a16="http://schemas.microsoft.com/office/drawing/2014/main" id="{F767BE0B-8E28-4880-BB43-00D91103884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25352" y="3709148"/>
          <a:ext cx="647700" cy="645458"/>
        </a:xfrm>
        <a:prstGeom prst="rect">
          <a:avLst/>
        </a:prstGeom>
      </xdr:spPr>
    </xdr:pic>
    <xdr:clientData/>
  </xdr:twoCellAnchor>
  <xdr:twoCellAnchor>
    <xdr:from>
      <xdr:col>7</xdr:col>
      <xdr:colOff>470646</xdr:colOff>
      <xdr:row>10</xdr:row>
      <xdr:rowOff>44823</xdr:rowOff>
    </xdr:from>
    <xdr:to>
      <xdr:col>9</xdr:col>
      <xdr:colOff>324970</xdr:colOff>
      <xdr:row>14</xdr:row>
      <xdr:rowOff>44825</xdr:rowOff>
    </xdr:to>
    <xdr:sp macro="" textlink="'Total Salary per Job Role'!O13">
      <xdr:nvSpPr>
        <xdr:cNvPr id="31" name="TextBox 30">
          <a:extLst>
            <a:ext uri="{FF2B5EF4-FFF2-40B4-BE49-F238E27FC236}">
              <a16:creationId xmlns:a16="http://schemas.microsoft.com/office/drawing/2014/main" id="{99520085-7F7F-86CD-3A47-696BC0B89C82}"/>
            </a:ext>
          </a:extLst>
        </xdr:cNvPr>
        <xdr:cNvSpPr txBox="1"/>
      </xdr:nvSpPr>
      <xdr:spPr>
        <a:xfrm>
          <a:off x="4706470" y="2050676"/>
          <a:ext cx="1064559" cy="762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D820748-4CA3-47CE-AA62-5FE97308FFFE}" type="TxLink">
            <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rPr>
            <a:pPr marL="0" indent="0"/>
            <a:t>0.6</a:t>
          </a:fld>
          <a:endPar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10</xdr:col>
      <xdr:colOff>336177</xdr:colOff>
      <xdr:row>10</xdr:row>
      <xdr:rowOff>67235</xdr:rowOff>
    </xdr:from>
    <xdr:to>
      <xdr:col>12</xdr:col>
      <xdr:colOff>313764</xdr:colOff>
      <xdr:row>14</xdr:row>
      <xdr:rowOff>78441</xdr:rowOff>
    </xdr:to>
    <xdr:sp macro="" textlink="'Total Salary per Job Role'!O15">
      <xdr:nvSpPr>
        <xdr:cNvPr id="32" name="TextBox 31">
          <a:extLst>
            <a:ext uri="{FF2B5EF4-FFF2-40B4-BE49-F238E27FC236}">
              <a16:creationId xmlns:a16="http://schemas.microsoft.com/office/drawing/2014/main" id="{8E72835B-EC6F-043C-3E01-23851925A3B2}"/>
            </a:ext>
          </a:extLst>
        </xdr:cNvPr>
        <xdr:cNvSpPr txBox="1"/>
      </xdr:nvSpPr>
      <xdr:spPr>
        <a:xfrm>
          <a:off x="6387353" y="2073088"/>
          <a:ext cx="1187823" cy="7732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17DB2B1-9AF4-4F52-AF6C-D224A7F82FBE}" type="TxLink">
            <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rPr>
            <a:pPr marL="0" indent="0"/>
            <a:t>0.4</a:t>
          </a:fld>
          <a:endPar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editAs="oneCell">
    <xdr:from>
      <xdr:col>8</xdr:col>
      <xdr:colOff>179294</xdr:colOff>
      <xdr:row>8</xdr:row>
      <xdr:rowOff>89647</xdr:rowOff>
    </xdr:from>
    <xdr:to>
      <xdr:col>9</xdr:col>
      <xdr:colOff>67236</xdr:colOff>
      <xdr:row>11</xdr:row>
      <xdr:rowOff>22412</xdr:rowOff>
    </xdr:to>
    <xdr:pic>
      <xdr:nvPicPr>
        <xdr:cNvPr id="34" name="Picture 33">
          <a:extLst>
            <a:ext uri="{FF2B5EF4-FFF2-40B4-BE49-F238E27FC236}">
              <a16:creationId xmlns:a16="http://schemas.microsoft.com/office/drawing/2014/main" id="{693B8741-8F5B-944E-94E3-BE1B321527F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20235" y="1714500"/>
          <a:ext cx="493060" cy="504265"/>
        </a:xfrm>
        <a:prstGeom prst="rect">
          <a:avLst/>
        </a:prstGeom>
      </xdr:spPr>
    </xdr:pic>
    <xdr:clientData/>
  </xdr:twoCellAnchor>
  <xdr:twoCellAnchor editAs="oneCell">
    <xdr:from>
      <xdr:col>11</xdr:col>
      <xdr:colOff>1</xdr:colOff>
      <xdr:row>8</xdr:row>
      <xdr:rowOff>100853</xdr:rowOff>
    </xdr:from>
    <xdr:to>
      <xdr:col>11</xdr:col>
      <xdr:colOff>515471</xdr:colOff>
      <xdr:row>11</xdr:row>
      <xdr:rowOff>1</xdr:rowOff>
    </xdr:to>
    <xdr:pic>
      <xdr:nvPicPr>
        <xdr:cNvPr id="36" name="Picture 35">
          <a:extLst>
            <a:ext uri="{FF2B5EF4-FFF2-40B4-BE49-F238E27FC236}">
              <a16:creationId xmlns:a16="http://schemas.microsoft.com/office/drawing/2014/main" id="{DE27EA51-0E3E-3CEB-708E-2B07F99F8C9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56295" y="1725706"/>
          <a:ext cx="515470" cy="470648"/>
        </a:xfrm>
        <a:prstGeom prst="rect">
          <a:avLst/>
        </a:prstGeom>
      </xdr:spPr>
    </xdr:pic>
    <xdr:clientData/>
  </xdr:twoCellAnchor>
  <xdr:twoCellAnchor editAs="oneCell">
    <xdr:from>
      <xdr:col>0</xdr:col>
      <xdr:colOff>112059</xdr:colOff>
      <xdr:row>12</xdr:row>
      <xdr:rowOff>156883</xdr:rowOff>
    </xdr:from>
    <xdr:to>
      <xdr:col>1</xdr:col>
      <xdr:colOff>526676</xdr:colOff>
      <xdr:row>19</xdr:row>
      <xdr:rowOff>145676</xdr:rowOff>
    </xdr:to>
    <xdr:pic>
      <xdr:nvPicPr>
        <xdr:cNvPr id="38" name="Picture 37">
          <a:hlinkClick xmlns:r="http://schemas.openxmlformats.org/officeDocument/2006/relationships" r:id="rId8"/>
          <a:extLst>
            <a:ext uri="{FF2B5EF4-FFF2-40B4-BE49-F238E27FC236}">
              <a16:creationId xmlns:a16="http://schemas.microsoft.com/office/drawing/2014/main" id="{6004317E-F021-532E-0CB7-35767671DC5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2059" y="2543736"/>
          <a:ext cx="1019735" cy="1322293"/>
        </a:xfrm>
        <a:prstGeom prst="rect">
          <a:avLst/>
        </a:prstGeom>
      </xdr:spPr>
    </xdr:pic>
    <xdr:clientData/>
  </xdr:twoCellAnchor>
  <xdr:twoCellAnchor editAs="oneCell">
    <xdr:from>
      <xdr:col>0</xdr:col>
      <xdr:colOff>0</xdr:colOff>
      <xdr:row>1</xdr:row>
      <xdr:rowOff>1</xdr:rowOff>
    </xdr:from>
    <xdr:to>
      <xdr:col>1</xdr:col>
      <xdr:colOff>504264</xdr:colOff>
      <xdr:row>6</xdr:row>
      <xdr:rowOff>168088</xdr:rowOff>
    </xdr:to>
    <xdr:pic macro="[0]!Form">
      <xdr:nvPicPr>
        <xdr:cNvPr id="40" name="Picture 39">
          <a:hlinkClick xmlns:r="http://schemas.openxmlformats.org/officeDocument/2006/relationships" r:id="rId10"/>
          <a:extLst>
            <a:ext uri="{FF2B5EF4-FFF2-40B4-BE49-F238E27FC236}">
              <a16:creationId xmlns:a16="http://schemas.microsoft.com/office/drawing/2014/main" id="{3FD6B461-BB65-A4C8-115D-FE8F8702B3A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0" y="291354"/>
          <a:ext cx="1109382" cy="1120587"/>
        </a:xfrm>
        <a:prstGeom prst="rect">
          <a:avLst/>
        </a:prstGeom>
      </xdr:spPr>
    </xdr:pic>
    <xdr:clientData/>
  </xdr:twoCellAnchor>
  <xdr:twoCellAnchor editAs="oneCell">
    <xdr:from>
      <xdr:col>18</xdr:col>
      <xdr:colOff>160244</xdr:colOff>
      <xdr:row>16</xdr:row>
      <xdr:rowOff>5604</xdr:rowOff>
    </xdr:from>
    <xdr:to>
      <xdr:col>21</xdr:col>
      <xdr:colOff>173691</xdr:colOff>
      <xdr:row>21</xdr:row>
      <xdr:rowOff>89648</xdr:rowOff>
    </xdr:to>
    <mc:AlternateContent xmlns:mc="http://schemas.openxmlformats.org/markup-compatibility/2006" xmlns:a14="http://schemas.microsoft.com/office/drawing/2010/main">
      <mc:Choice Requires="a14">
        <xdr:graphicFrame macro="">
          <xdr:nvGraphicFramePr>
            <xdr:cNvPr id="41" name="Gender">
              <a:extLst>
                <a:ext uri="{FF2B5EF4-FFF2-40B4-BE49-F238E27FC236}">
                  <a16:creationId xmlns:a16="http://schemas.microsoft.com/office/drawing/2014/main" id="{FB009E75-17ED-C8DB-2284-70CE263961B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052362" y="3154457"/>
              <a:ext cx="1828800" cy="10365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121024</xdr:colOff>
      <xdr:row>25</xdr:row>
      <xdr:rowOff>123266</xdr:rowOff>
    </xdr:from>
    <xdr:to>
      <xdr:col>21</xdr:col>
      <xdr:colOff>134471</xdr:colOff>
      <xdr:row>32</xdr:row>
      <xdr:rowOff>112060</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65733615-173E-E519-8F78-2D40BA1FBCC7}"/>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013142" y="4986619"/>
              <a:ext cx="1828800" cy="13222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160244</xdr:colOff>
      <xdr:row>3</xdr:row>
      <xdr:rowOff>5603</xdr:rowOff>
    </xdr:from>
    <xdr:to>
      <xdr:col>21</xdr:col>
      <xdr:colOff>173691</xdr:colOff>
      <xdr:row>12</xdr:row>
      <xdr:rowOff>134471</xdr:rowOff>
    </xdr:to>
    <mc:AlternateContent xmlns:mc="http://schemas.openxmlformats.org/markup-compatibility/2006" xmlns:a14="http://schemas.microsoft.com/office/drawing/2010/main">
      <mc:Choice Requires="a14">
        <xdr:graphicFrame macro="">
          <xdr:nvGraphicFramePr>
            <xdr:cNvPr id="43" name="Job Role">
              <a:extLst>
                <a:ext uri="{FF2B5EF4-FFF2-40B4-BE49-F238E27FC236}">
                  <a16:creationId xmlns:a16="http://schemas.microsoft.com/office/drawing/2014/main" id="{783B8CFC-0EF0-7FEC-5D1B-CE4EAFF6B73D}"/>
                </a:ext>
              </a:extLst>
            </xdr:cNvPr>
            <xdr:cNvGraphicFramePr/>
          </xdr:nvGraphicFramePr>
          <xdr:xfrm>
            <a:off x="0" y="0"/>
            <a:ext cx="0" cy="0"/>
          </xdr:xfrm>
          <a:graphic>
            <a:graphicData uri="http://schemas.microsoft.com/office/drawing/2010/slicer">
              <sle:slicer xmlns:sle="http://schemas.microsoft.com/office/drawing/2010/slicer" name="Job Role"/>
            </a:graphicData>
          </a:graphic>
        </xdr:graphicFrame>
      </mc:Choice>
      <mc:Fallback xmlns="">
        <xdr:sp macro="" textlink="">
          <xdr:nvSpPr>
            <xdr:cNvPr id="0" name=""/>
            <xdr:cNvSpPr>
              <a:spLocks noTextEdit="1"/>
            </xdr:cNvSpPr>
          </xdr:nvSpPr>
          <xdr:spPr>
            <a:xfrm>
              <a:off x="11052362" y="677956"/>
              <a:ext cx="1828800" cy="18433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179295</xdr:colOff>
      <xdr:row>25</xdr:row>
      <xdr:rowOff>78441</xdr:rowOff>
    </xdr:from>
    <xdr:to>
      <xdr:col>1</xdr:col>
      <xdr:colOff>381001</xdr:colOff>
      <xdr:row>29</xdr:row>
      <xdr:rowOff>145677</xdr:rowOff>
    </xdr:to>
    <xdr:pic macro="[0]!RefreshDashboard">
      <xdr:nvPicPr>
        <xdr:cNvPr id="45" name="Picture 44">
          <a:extLst>
            <a:ext uri="{FF2B5EF4-FFF2-40B4-BE49-F238E27FC236}">
              <a16:creationId xmlns:a16="http://schemas.microsoft.com/office/drawing/2014/main" id="{88A2AED2-3248-3630-0511-5B85C81951F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79295" y="4941794"/>
          <a:ext cx="806824" cy="82923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3D" refreshedDate="45849.781340624999" createdVersion="8" refreshedVersion="8" minRefreshableVersion="3" recordCount="10" xr:uid="{761E2B89-07A0-45FD-A265-A471BA272CDC}">
  <cacheSource type="worksheet">
    <worksheetSource name="tblEmployees"/>
  </cacheSource>
  <cacheFields count="11">
    <cacheField name="SN" numFmtId="0">
      <sharedItems containsSemiMixedTypes="0" containsString="0" containsNumber="1" containsInteger="1" minValue="1" maxValue="10"/>
    </cacheField>
    <cacheField name="Employee Id" numFmtId="0">
      <sharedItems/>
    </cacheField>
    <cacheField name="Full name" numFmtId="0">
      <sharedItems/>
    </cacheField>
    <cacheField name="Phone Number" numFmtId="0">
      <sharedItems containsSemiMixedTypes="0" containsString="0" containsNumber="1" containsInteger="1" minValue="121111111" maxValue="99214512121"/>
    </cacheField>
    <cacheField name="Date of Birth" numFmtId="14">
      <sharedItems/>
    </cacheField>
    <cacheField name="Gender" numFmtId="0">
      <sharedItems count="2">
        <s v="Female"/>
        <s v="Male"/>
      </sharedItems>
    </cacheField>
    <cacheField name="Email" numFmtId="0">
      <sharedItems/>
    </cacheField>
    <cacheField name="Department" numFmtId="0">
      <sharedItems count="3">
        <s v="Sales"/>
        <s v="Research &amp; Development"/>
        <s v="Human Resources"/>
      </sharedItems>
    </cacheField>
    <cacheField name="Job Role" numFmtId="0">
      <sharedItems count="5">
        <s v="Research Scientist"/>
        <s v="Laboratory Technician"/>
        <s v="Manufacturing Director"/>
        <s v="Healthcare Representative"/>
        <s v="Sales Executive"/>
      </sharedItems>
    </cacheField>
    <cacheField name="Date of hire" numFmtId="0">
      <sharedItems/>
    </cacheField>
    <cacheField name="Monthly Salary" numFmtId="0">
      <sharedItems containsSemiMixedTypes="0" containsString="0" containsNumber="1" containsInteger="1" minValue="10000" maxValue="75000"/>
    </cacheField>
  </cacheFields>
  <extLst>
    <ext xmlns:x14="http://schemas.microsoft.com/office/spreadsheetml/2009/9/main" uri="{725AE2AE-9491-48be-B2B4-4EB974FC3084}">
      <x14:pivotCacheDefinition pivotCacheId="2282362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n v="1"/>
    <s v="E001"/>
    <s v="jane doe"/>
    <n v="1088888888"/>
    <s v="8-يوليو-2025"/>
    <x v="0"/>
    <s v="wdccd@gamil.com"/>
    <x v="0"/>
    <x v="0"/>
    <s v="9-يوليو-2025"/>
    <n v="20000"/>
  </r>
  <r>
    <n v="2"/>
    <s v="E002"/>
    <s v="john doe"/>
    <n v="1045555555"/>
    <s v="3-يوليو-1996"/>
    <x v="1"/>
    <s v="ddv@gmail.com"/>
    <x v="1"/>
    <x v="0"/>
    <s v="1-يوليو-2025"/>
    <n v="25000"/>
  </r>
  <r>
    <n v="3"/>
    <s v="E003"/>
    <s v="ali ahmed"/>
    <n v="1545484554"/>
    <s v="19-يوليو-2000"/>
    <x v="1"/>
    <s v="qw@gmail.com"/>
    <x v="1"/>
    <x v="1"/>
    <s v="16-أكتوبر-2025"/>
    <n v="30000"/>
  </r>
  <r>
    <n v="4"/>
    <s v="E004"/>
    <s v="malak ahmed"/>
    <n v="155555545"/>
    <s v="9-يونيو-1999"/>
    <x v="0"/>
    <s v="wed@gmail.com"/>
    <x v="2"/>
    <x v="0"/>
    <s v="16-يوليو-2020"/>
    <n v="35000"/>
  </r>
  <r>
    <n v="5"/>
    <s v="E005"/>
    <s v="nour mostafa"/>
    <n v="121111111"/>
    <s v="5-يوليو-2000"/>
    <x v="0"/>
    <s v="ddv@gmail.com"/>
    <x v="2"/>
    <x v="2"/>
    <s v="18-يوليو-2018"/>
    <n v="40000"/>
  </r>
  <r>
    <n v="6"/>
    <s v="E006"/>
    <s v="walter white"/>
    <n v="1548877845"/>
    <s v="11-يوليو-1995"/>
    <x v="1"/>
    <s v="meth@gmail.com"/>
    <x v="0"/>
    <x v="1"/>
    <s v="1-يوليو-2009"/>
    <n v="65000"/>
  </r>
  <r>
    <n v="7"/>
    <s v="E007"/>
    <s v="harry potter"/>
    <n v="2154542554"/>
    <s v="4-يوليو-2000"/>
    <x v="1"/>
    <s v="grefendor@gmail.com"/>
    <x v="1"/>
    <x v="2"/>
    <s v="12-يوليو-2018"/>
    <n v="70000"/>
  </r>
  <r>
    <n v="8"/>
    <s v="E008"/>
    <s v="bruce wane"/>
    <n v="99214512121"/>
    <s v="11-يوليو-1995"/>
    <x v="1"/>
    <s v="batman@gmail.com"/>
    <x v="2"/>
    <x v="3"/>
    <s v="21-يوليو-2010"/>
    <n v="75000"/>
  </r>
  <r>
    <n v="9"/>
    <s v="E009"/>
    <s v="luna"/>
    <n v="2121548484"/>
    <s v="30-يوليو-2003"/>
    <x v="0"/>
    <s v="sss@gmail.com"/>
    <x v="0"/>
    <x v="3"/>
    <s v="6-يوليو-2006"/>
    <n v="15000"/>
  </r>
  <r>
    <n v="10"/>
    <s v="E010"/>
    <s v="arthur fleck"/>
    <n v="1245484544"/>
    <s v="1-يوليو-2004"/>
    <x v="1"/>
    <s v="Joker@gmail.com"/>
    <x v="0"/>
    <x v="4"/>
    <s v="21-يناير-2025"/>
    <n v="1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C1404B-8928-4870-86F8-298BF3BA1F0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7" firstHeaderRow="1" firstDataRow="1" firstDataCol="1"/>
  <pivotFields count="11">
    <pivotField showAll="0"/>
    <pivotField dataField="1" showAll="0"/>
    <pivotField showAll="0"/>
    <pivotField showAll="0"/>
    <pivotField showAll="0"/>
    <pivotField showAll="0">
      <items count="3">
        <item x="0"/>
        <item x="1"/>
        <item t="default"/>
      </items>
    </pivotField>
    <pivotField showAll="0"/>
    <pivotField axis="axisRow" showAll="0">
      <items count="4">
        <item x="2"/>
        <item x="1"/>
        <item x="0"/>
        <item t="default"/>
      </items>
    </pivotField>
    <pivotField showAll="0">
      <items count="6">
        <item x="3"/>
        <item x="1"/>
        <item x="2"/>
        <item x="0"/>
        <item x="4"/>
        <item t="default"/>
      </items>
    </pivotField>
    <pivotField showAll="0"/>
    <pivotField showAll="0"/>
  </pivotFields>
  <rowFields count="1">
    <field x="7"/>
  </rowFields>
  <rowItems count="4">
    <i>
      <x/>
    </i>
    <i>
      <x v="1"/>
    </i>
    <i>
      <x v="2"/>
    </i>
    <i t="grand">
      <x/>
    </i>
  </rowItems>
  <colItems count="1">
    <i/>
  </colItems>
  <dataFields count="1">
    <dataField name="Count of Employee Id" fld="1" subtotal="count" showDataAs="percentOfCol" baseField="0" baseItem="0" numFmtId="1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2"/>
          </reference>
        </references>
      </pivotArea>
    </chartFormat>
    <chartFormat chart="0"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6C0E3D-B289-4996-8FFB-7C04B1003F1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1">
    <pivotField showAll="0"/>
    <pivotField showAll="0"/>
    <pivotField showAll="0"/>
    <pivotField showAll="0"/>
    <pivotField showAll="0"/>
    <pivotField showAll="0">
      <items count="3">
        <item x="0"/>
        <item x="1"/>
        <item t="default"/>
      </items>
    </pivotField>
    <pivotField showAll="0"/>
    <pivotField showAll="0">
      <items count="4">
        <item x="2"/>
        <item x="1"/>
        <item x="0"/>
        <item t="default"/>
      </items>
    </pivotField>
    <pivotField axis="axisRow" showAll="0">
      <items count="6">
        <item x="2"/>
        <item x="0"/>
        <item x="1"/>
        <item x="3"/>
        <item x="4"/>
        <item t="default"/>
      </items>
    </pivotField>
    <pivotField showAll="0"/>
    <pivotField dataField="1" showAll="0"/>
  </pivotFields>
  <rowFields count="1">
    <field x="8"/>
  </rowFields>
  <rowItems count="6">
    <i>
      <x/>
    </i>
    <i>
      <x v="1"/>
    </i>
    <i>
      <x v="2"/>
    </i>
    <i>
      <x v="3"/>
    </i>
    <i>
      <x v="4"/>
    </i>
    <i t="grand">
      <x/>
    </i>
  </rowItems>
  <colItems count="1">
    <i/>
  </colItems>
  <dataFields count="1">
    <dataField name="Average of Monthly Salary" fld="10" subtotal="average" baseField="8"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A1A4D9-C31F-4A33-9D76-BBD07F34F22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6" firstHeaderRow="1" firstDataRow="1" firstDataCol="1"/>
  <pivotFields count="11">
    <pivotField showAll="0"/>
    <pivotField dataField="1" showAll="0"/>
    <pivotField showAll="0"/>
    <pivotField showAll="0"/>
    <pivotField showAll="0"/>
    <pivotField axis="axisRow" showAll="0">
      <items count="3">
        <item x="0"/>
        <item x="1"/>
        <item t="default"/>
      </items>
    </pivotField>
    <pivotField showAll="0"/>
    <pivotField showAll="0">
      <items count="4">
        <item x="2"/>
        <item x="1"/>
        <item x="0"/>
        <item t="default"/>
      </items>
    </pivotField>
    <pivotField showAll="0">
      <items count="6">
        <item x="3"/>
        <item x="1"/>
        <item x="2"/>
        <item x="0"/>
        <item x="4"/>
        <item t="default"/>
      </items>
    </pivotField>
    <pivotField showAll="0"/>
    <pivotField showAll="0"/>
  </pivotFields>
  <rowFields count="1">
    <field x="5"/>
  </rowFields>
  <rowItems count="3">
    <i>
      <x/>
    </i>
    <i>
      <x v="1"/>
    </i>
    <i t="grand">
      <x/>
    </i>
  </rowItems>
  <colItems count="1">
    <i/>
  </colItems>
  <dataFields count="1">
    <dataField name="Count of Employee Id" fld="1" subtotal="count" showDataAs="percentOfCol" baseField="0"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5" count="1" selected="0">
            <x v="0"/>
          </reference>
        </references>
      </pivotArea>
    </chartFormat>
    <chartFormat chart="4" format="1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428C529-1655-4DF9-AF2D-B6C95A86E251}" sourceName="Gender">
  <pivotTables>
    <pivotTable tabId="7" name="PivotTable3"/>
    <pivotTable tabId="5" name="PivotTable1"/>
    <pivotTable tabId="6" name="PivotTable2"/>
  </pivotTables>
  <data>
    <tabular pivotCacheId="22823629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EC88EA7-D0B2-40F3-AB0E-65A8C2CC63AC}" sourceName="Department">
  <pivotTables>
    <pivotTable tabId="7" name="PivotTable3"/>
    <pivotTable tabId="5" name="PivotTable1"/>
    <pivotTable tabId="6" name="PivotTable2"/>
  </pivotTables>
  <data>
    <tabular pivotCacheId="228236294">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Role" xr10:uid="{B57D6B61-ACF5-484B-A4A6-73CBD4ED2C37}" sourceName="Job Role">
  <pivotTables>
    <pivotTable tabId="7" name="PivotTable3"/>
    <pivotTable tabId="5" name="PivotTable1"/>
    <pivotTable tabId="6" name="PivotTable2"/>
  </pivotTables>
  <data>
    <tabular pivotCacheId="228236294">
      <items count="5">
        <i x="3" s="1"/>
        <i x="1"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BC72B695-E64C-4D2D-8627-3F27AB21503D}" cache="Slicer_Gender" caption="Gender" style="SlicerStyleLight2" rowHeight="241300"/>
  <slicer name="Department" xr10:uid="{456D1491-D925-42CF-8D1E-496BB57550E0}" cache="Slicer_Department" caption="Department" style="SlicerStyleLight2" rowHeight="241300"/>
  <slicer name="Job Role" xr10:uid="{47D05CAF-BC59-4E76-B649-4643D46C138A}" cache="Slicer_Job_Role" caption="Job Role"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7C46F4-1A06-412F-89D5-A46BDC8F2335}" name="tblEmployees" displayName="tblEmployees" ref="A1:K11" totalsRowShown="0" headerRowDxfId="2">
  <autoFilter ref="A1:K11" xr:uid="{F47C46F4-1A06-412F-89D5-A46BDC8F2335}"/>
  <tableColumns count="11">
    <tableColumn id="1" xr3:uid="{A24FCB6E-A98E-4F37-8A8B-39FA2F42E0E5}" name="SN"/>
    <tableColumn id="2" xr3:uid="{38A7265B-6047-4BC5-8C80-FD2D4C2FD007}" name="Employee Id"/>
    <tableColumn id="3" xr3:uid="{8A81FA46-009E-438C-8E35-F01664E60CA1}" name="Full name"/>
    <tableColumn id="4" xr3:uid="{6A8D52F9-51CA-4EDA-A8F7-3A8A1014D00A}" name="Phone Number"/>
    <tableColumn id="5" xr3:uid="{B06AB7E2-E849-4E55-9924-5425402079E8}" name="Date of Birth" dataDxfId="1" totalsRowDxfId="0"/>
    <tableColumn id="6" xr3:uid="{4D0D35F3-7D2D-4FAB-8AD3-FDF004385BF1}" name="Gender"/>
    <tableColumn id="7" xr3:uid="{673D0B30-1EB1-4436-9F11-92AFED234FB4}" name="Email"/>
    <tableColumn id="8" xr3:uid="{F69C3B6A-D1D0-4E8D-9691-2C3545CEEDED}" name="Department"/>
    <tableColumn id="9" xr3:uid="{58A66E6F-F1BC-402B-8EE8-8BFAEAB3D11B}" name="Job Role"/>
    <tableColumn id="10" xr3:uid="{47D136F0-73BA-4A8E-8456-625E633274AC}" name="Date of hire"/>
    <tableColumn id="11" xr3:uid="{12C92E8D-D068-474A-A2FA-CA9AF8E303A9}" name="Monthly Sala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ddv@gmail.com" TargetMode="Externa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zoomScaleNormal="100" workbookViewId="0"/>
  </sheetViews>
  <sheetFormatPr defaultRowHeight="15" x14ac:dyDescent="0.25"/>
  <cols>
    <col min="1" max="9" width="9.140625" customWidth="1"/>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95D2B-A24E-485D-AE97-0978486FAEAE}">
  <sheetPr codeName="Sheet5"/>
  <dimension ref="A1:B7"/>
  <sheetViews>
    <sheetView rightToLeft="1" workbookViewId="0">
      <selection activeCell="B12" sqref="B12"/>
    </sheetView>
  </sheetViews>
  <sheetFormatPr defaultRowHeight="15" x14ac:dyDescent="0.25"/>
  <cols>
    <col min="1" max="1" width="23.85546875" bestFit="1" customWidth="1"/>
    <col min="2" max="2" width="20.28515625" bestFit="1" customWidth="1"/>
  </cols>
  <sheetData>
    <row r="1" spans="1:2" ht="21" x14ac:dyDescent="0.35">
      <c r="B1" s="8" t="s">
        <v>46</v>
      </c>
    </row>
    <row r="3" spans="1:2" x14ac:dyDescent="0.25">
      <c r="A3" s="6" t="s">
        <v>42</v>
      </c>
      <c r="B3" t="s">
        <v>44</v>
      </c>
    </row>
    <row r="4" spans="1:2" x14ac:dyDescent="0.25">
      <c r="A4" s="7" t="s">
        <v>33</v>
      </c>
      <c r="B4" s="9">
        <v>0.3</v>
      </c>
    </row>
    <row r="5" spans="1:2" x14ac:dyDescent="0.25">
      <c r="A5" s="7" t="s">
        <v>24</v>
      </c>
      <c r="B5" s="9">
        <v>0.3</v>
      </c>
    </row>
    <row r="6" spans="1:2" x14ac:dyDescent="0.25">
      <c r="A6" s="7" t="s">
        <v>20</v>
      </c>
      <c r="B6" s="9">
        <v>0.4</v>
      </c>
    </row>
    <row r="7" spans="1:2" x14ac:dyDescent="0.25">
      <c r="A7" s="7" t="s">
        <v>43</v>
      </c>
      <c r="B7" s="9">
        <v>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4D781-C233-46BA-8304-89154FBFF87E}">
  <sheetPr codeName="Sheet6"/>
  <dimension ref="A1:O15"/>
  <sheetViews>
    <sheetView rightToLeft="1" topLeftCell="H1" workbookViewId="0">
      <selection activeCell="O6" sqref="O6"/>
    </sheetView>
  </sheetViews>
  <sheetFormatPr defaultRowHeight="15" x14ac:dyDescent="0.25"/>
  <cols>
    <col min="1" max="1" width="25" bestFit="1" customWidth="1"/>
    <col min="2" max="2" width="24.7109375" bestFit="1" customWidth="1"/>
    <col min="12" max="12" width="8.7109375" customWidth="1"/>
    <col min="13" max="13" width="13.5703125" customWidth="1"/>
    <col min="14" max="14" width="25.5703125" customWidth="1"/>
    <col min="15" max="15" width="11.7109375" customWidth="1"/>
  </cols>
  <sheetData>
    <row r="1" spans="1:15" ht="21" x14ac:dyDescent="0.25">
      <c r="B1" s="10" t="s">
        <v>47</v>
      </c>
    </row>
    <row r="3" spans="1:15" x14ac:dyDescent="0.25">
      <c r="A3" s="6" t="s">
        <v>42</v>
      </c>
      <c r="B3" t="s">
        <v>45</v>
      </c>
    </row>
    <row r="4" spans="1:15" x14ac:dyDescent="0.25">
      <c r="A4" s="7" t="s">
        <v>39</v>
      </c>
      <c r="B4">
        <v>55000</v>
      </c>
      <c r="N4" t="s">
        <v>49</v>
      </c>
      <c r="O4" s="11">
        <f>COUNTA(tblEmployees[Employee Id])</f>
        <v>10</v>
      </c>
    </row>
    <row r="5" spans="1:15" x14ac:dyDescent="0.25">
      <c r="A5" s="7" t="s">
        <v>21</v>
      </c>
      <c r="B5">
        <v>26666.666666666668</v>
      </c>
    </row>
    <row r="6" spans="1:15" x14ac:dyDescent="0.25">
      <c r="A6" s="7" t="s">
        <v>56</v>
      </c>
      <c r="B6">
        <v>47500</v>
      </c>
      <c r="N6" t="s">
        <v>50</v>
      </c>
      <c r="O6">
        <f>AVERAGE(tblEmployees[Monthly Salary])</f>
        <v>38500</v>
      </c>
    </row>
    <row r="7" spans="1:15" x14ac:dyDescent="0.25">
      <c r="A7" s="7" t="s">
        <v>62</v>
      </c>
      <c r="B7">
        <v>45000</v>
      </c>
    </row>
    <row r="8" spans="1:15" x14ac:dyDescent="0.25">
      <c r="A8" s="7" t="s">
        <v>66</v>
      </c>
      <c r="B8">
        <v>10000</v>
      </c>
      <c r="N8" t="s">
        <v>51</v>
      </c>
      <c r="O8">
        <f>COUNTIF(tblEmployees[Gender],"Male")</f>
        <v>6</v>
      </c>
    </row>
    <row r="9" spans="1:15" x14ac:dyDescent="0.25">
      <c r="A9" s="7" t="s">
        <v>43</v>
      </c>
      <c r="B9">
        <v>38500</v>
      </c>
    </row>
    <row r="10" spans="1:15" x14ac:dyDescent="0.25">
      <c r="N10" t="s">
        <v>52</v>
      </c>
      <c r="O10">
        <f>COUNTIF(tblEmployees[Gender],"Female")</f>
        <v>4</v>
      </c>
    </row>
    <row r="13" spans="1:15" x14ac:dyDescent="0.25">
      <c r="N13" t="s">
        <v>53</v>
      </c>
      <c r="O13">
        <f>COUNTIF(tblEmployees[Gender],"Male") / COUNTA(tblEmployees[Gender])</f>
        <v>0.6</v>
      </c>
    </row>
    <row r="15" spans="1:15" x14ac:dyDescent="0.25">
      <c r="N15" t="s">
        <v>54</v>
      </c>
      <c r="O15">
        <f>COUNTIF(tblEmployees[Gender],"Female") / COUNTA(tblEmployees[Gender])</f>
        <v>0.4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6658-41D5-4A21-8443-171320120E75}">
  <sheetPr codeName="Sheet7"/>
  <dimension ref="A1:B6"/>
  <sheetViews>
    <sheetView rightToLeft="1" workbookViewId="0">
      <selection activeCell="B13" sqref="B13"/>
    </sheetView>
  </sheetViews>
  <sheetFormatPr defaultRowHeight="15" x14ac:dyDescent="0.25"/>
  <cols>
    <col min="1" max="1" width="11.28515625" bestFit="1" customWidth="1"/>
    <col min="2" max="2" width="20.28515625" bestFit="1" customWidth="1"/>
  </cols>
  <sheetData>
    <row r="1" spans="1:2" ht="21" x14ac:dyDescent="0.25">
      <c r="B1" s="10" t="s">
        <v>48</v>
      </c>
    </row>
    <row r="3" spans="1:2" x14ac:dyDescent="0.25">
      <c r="A3" s="6" t="s">
        <v>42</v>
      </c>
      <c r="B3" t="s">
        <v>44</v>
      </c>
    </row>
    <row r="4" spans="1:2" x14ac:dyDescent="0.25">
      <c r="A4" s="7" t="s">
        <v>12</v>
      </c>
      <c r="B4" s="9">
        <v>0.4</v>
      </c>
    </row>
    <row r="5" spans="1:2" x14ac:dyDescent="0.25">
      <c r="A5" s="7" t="s">
        <v>7</v>
      </c>
      <c r="B5" s="9">
        <v>0.6</v>
      </c>
    </row>
    <row r="6" spans="1:2" x14ac:dyDescent="0.25">
      <c r="A6" s="7" t="s">
        <v>43</v>
      </c>
      <c r="B6" s="9">
        <v>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7691D-BF59-4747-9142-A1695E0D429A}">
  <sheetPr codeName="Sheet2"/>
  <dimension ref="A1:K11"/>
  <sheetViews>
    <sheetView tabSelected="1" workbookViewId="0">
      <selection activeCell="B15" sqref="B15"/>
    </sheetView>
  </sheetViews>
  <sheetFormatPr defaultRowHeight="15" x14ac:dyDescent="0.25"/>
  <cols>
    <col min="2" max="2" width="15.140625" customWidth="1"/>
    <col min="3" max="3" width="14.5703125" customWidth="1"/>
    <col min="4" max="4" width="18.28515625" customWidth="1"/>
    <col min="5" max="5" width="15.7109375" style="2" customWidth="1"/>
    <col min="6" max="6" width="10.28515625" customWidth="1"/>
    <col min="7" max="7" width="19.42578125" bestFit="1" customWidth="1"/>
    <col min="8" max="8" width="15" customWidth="1"/>
    <col min="9" max="9" width="12" customWidth="1"/>
    <col min="10" max="10" width="14.7109375" customWidth="1"/>
    <col min="11" max="11" width="18.140625" customWidth="1"/>
  </cols>
  <sheetData>
    <row r="1" spans="1:11" ht="15.75" x14ac:dyDescent="0.25">
      <c r="A1" s="1" t="s">
        <v>6</v>
      </c>
      <c r="B1" s="1" t="s">
        <v>0</v>
      </c>
      <c r="C1" s="1" t="s">
        <v>1</v>
      </c>
      <c r="D1" s="1" t="s">
        <v>2</v>
      </c>
      <c r="E1" s="3" t="s">
        <v>3</v>
      </c>
      <c r="F1" s="1" t="s">
        <v>4</v>
      </c>
      <c r="G1" s="1" t="s">
        <v>5</v>
      </c>
      <c r="H1" s="1" t="s">
        <v>15</v>
      </c>
      <c r="I1" s="1" t="s">
        <v>14</v>
      </c>
      <c r="J1" s="1" t="s">
        <v>16</v>
      </c>
      <c r="K1" s="1" t="s">
        <v>17</v>
      </c>
    </row>
    <row r="2" spans="1:11" x14ac:dyDescent="0.25">
      <c r="A2">
        <v>1</v>
      </c>
      <c r="B2" t="s">
        <v>8</v>
      </c>
      <c r="C2" t="s">
        <v>11</v>
      </c>
      <c r="D2">
        <v>1088888888</v>
      </c>
      <c r="E2" s="2" t="s">
        <v>18</v>
      </c>
      <c r="F2" t="s">
        <v>12</v>
      </c>
      <c r="G2" t="s">
        <v>19</v>
      </c>
      <c r="H2" t="s">
        <v>20</v>
      </c>
      <c r="I2" t="s">
        <v>21</v>
      </c>
      <c r="J2" t="s">
        <v>22</v>
      </c>
      <c r="K2">
        <v>20000</v>
      </c>
    </row>
    <row r="3" spans="1:11" x14ac:dyDescent="0.25">
      <c r="A3">
        <v>2</v>
      </c>
      <c r="B3" t="s">
        <v>10</v>
      </c>
      <c r="C3" t="s">
        <v>9</v>
      </c>
      <c r="D3">
        <v>1045555555</v>
      </c>
      <c r="E3" s="2" t="s">
        <v>23</v>
      </c>
      <c r="F3" t="s">
        <v>7</v>
      </c>
      <c r="G3" s="4" t="s">
        <v>38</v>
      </c>
      <c r="H3" t="s">
        <v>24</v>
      </c>
      <c r="I3" t="s">
        <v>21</v>
      </c>
      <c r="J3" t="s">
        <v>25</v>
      </c>
      <c r="K3">
        <v>25000</v>
      </c>
    </row>
    <row r="4" spans="1:11" x14ac:dyDescent="0.25">
      <c r="A4">
        <v>3</v>
      </c>
      <c r="B4" t="s">
        <v>13</v>
      </c>
      <c r="C4" t="s">
        <v>26</v>
      </c>
      <c r="D4">
        <v>1545484554</v>
      </c>
      <c r="E4" s="2" t="s">
        <v>27</v>
      </c>
      <c r="F4" t="s">
        <v>7</v>
      </c>
      <c r="G4" t="s">
        <v>28</v>
      </c>
      <c r="H4" t="s">
        <v>24</v>
      </c>
      <c r="I4" t="s">
        <v>56</v>
      </c>
      <c r="J4" t="s">
        <v>29</v>
      </c>
      <c r="K4">
        <v>30000</v>
      </c>
    </row>
    <row r="5" spans="1:11" x14ac:dyDescent="0.25">
      <c r="A5">
        <v>4</v>
      </c>
      <c r="B5" t="s">
        <v>41</v>
      </c>
      <c r="C5" t="s">
        <v>30</v>
      </c>
      <c r="D5">
        <v>155555545</v>
      </c>
      <c r="E5" s="2" t="s">
        <v>31</v>
      </c>
      <c r="F5" t="s">
        <v>12</v>
      </c>
      <c r="G5" t="s">
        <v>32</v>
      </c>
      <c r="H5" t="s">
        <v>33</v>
      </c>
      <c r="I5" t="s">
        <v>21</v>
      </c>
      <c r="J5" t="s">
        <v>34</v>
      </c>
      <c r="K5">
        <v>35000</v>
      </c>
    </row>
    <row r="6" spans="1:11" x14ac:dyDescent="0.25">
      <c r="A6">
        <v>5</v>
      </c>
      <c r="B6" t="s">
        <v>35</v>
      </c>
      <c r="C6" t="s">
        <v>36</v>
      </c>
      <c r="D6">
        <v>121111111</v>
      </c>
      <c r="E6" s="2" t="s">
        <v>37</v>
      </c>
      <c r="F6" t="s">
        <v>12</v>
      </c>
      <c r="G6" t="s">
        <v>38</v>
      </c>
      <c r="H6" t="s">
        <v>33</v>
      </c>
      <c r="I6" t="s">
        <v>39</v>
      </c>
      <c r="J6" t="s">
        <v>40</v>
      </c>
      <c r="K6">
        <v>40000</v>
      </c>
    </row>
    <row r="7" spans="1:11" x14ac:dyDescent="0.25">
      <c r="A7">
        <v>6</v>
      </c>
      <c r="B7" t="s">
        <v>59</v>
      </c>
      <c r="C7" t="s">
        <v>55</v>
      </c>
      <c r="D7">
        <v>1548877845</v>
      </c>
      <c r="E7" s="2" t="s">
        <v>67</v>
      </c>
      <c r="F7" t="s">
        <v>7</v>
      </c>
      <c r="G7" t="s">
        <v>68</v>
      </c>
      <c r="H7" t="s">
        <v>20</v>
      </c>
      <c r="I7" t="s">
        <v>56</v>
      </c>
      <c r="J7" t="s">
        <v>69</v>
      </c>
      <c r="K7">
        <v>65000</v>
      </c>
    </row>
    <row r="8" spans="1:11" x14ac:dyDescent="0.25">
      <c r="A8">
        <v>7</v>
      </c>
      <c r="B8" t="s">
        <v>57</v>
      </c>
      <c r="C8" t="s">
        <v>58</v>
      </c>
      <c r="D8">
        <v>2154542554</v>
      </c>
      <c r="E8" s="2" t="s">
        <v>70</v>
      </c>
      <c r="F8" t="s">
        <v>7</v>
      </c>
      <c r="G8" t="s">
        <v>71</v>
      </c>
      <c r="H8" t="s">
        <v>24</v>
      </c>
      <c r="I8" t="s">
        <v>39</v>
      </c>
      <c r="J8" t="s">
        <v>72</v>
      </c>
      <c r="K8">
        <v>70000</v>
      </c>
    </row>
    <row r="9" spans="1:11" x14ac:dyDescent="0.25">
      <c r="A9">
        <v>8</v>
      </c>
      <c r="B9" t="s">
        <v>60</v>
      </c>
      <c r="C9" t="s">
        <v>61</v>
      </c>
      <c r="D9">
        <v>99214512121</v>
      </c>
      <c r="E9" s="2" t="s">
        <v>67</v>
      </c>
      <c r="F9" t="s">
        <v>7</v>
      </c>
      <c r="G9" t="s">
        <v>73</v>
      </c>
      <c r="H9" t="s">
        <v>33</v>
      </c>
      <c r="I9" t="s">
        <v>62</v>
      </c>
      <c r="J9" t="s">
        <v>74</v>
      </c>
      <c r="K9">
        <v>75000</v>
      </c>
    </row>
    <row r="10" spans="1:11" x14ac:dyDescent="0.25">
      <c r="A10">
        <v>9</v>
      </c>
      <c r="B10" t="s">
        <v>63</v>
      </c>
      <c r="C10" t="s">
        <v>75</v>
      </c>
      <c r="D10">
        <v>2121548484</v>
      </c>
      <c r="E10" s="2" t="s">
        <v>76</v>
      </c>
      <c r="F10" t="s">
        <v>12</v>
      </c>
      <c r="G10" t="s">
        <v>77</v>
      </c>
      <c r="H10" t="s">
        <v>20</v>
      </c>
      <c r="I10" t="s">
        <v>62</v>
      </c>
      <c r="J10" t="s">
        <v>78</v>
      </c>
      <c r="K10">
        <v>15000</v>
      </c>
    </row>
    <row r="11" spans="1:11" x14ac:dyDescent="0.25">
      <c r="A11">
        <v>10</v>
      </c>
      <c r="B11" t="s">
        <v>64</v>
      </c>
      <c r="C11" t="s">
        <v>65</v>
      </c>
      <c r="D11">
        <v>1245484544</v>
      </c>
      <c r="E11" s="2" t="s">
        <v>79</v>
      </c>
      <c r="F11" t="s">
        <v>7</v>
      </c>
      <c r="G11" t="s">
        <v>80</v>
      </c>
      <c r="H11" t="s">
        <v>20</v>
      </c>
      <c r="I11" t="s">
        <v>66</v>
      </c>
      <c r="J11" t="s">
        <v>81</v>
      </c>
      <c r="K11">
        <v>10000</v>
      </c>
    </row>
  </sheetData>
  <hyperlinks>
    <hyperlink ref="G3" r:id="rId1" xr:uid="{8DD299D9-2F07-49F3-8F01-343603F7D26D}"/>
  </hyperlinks>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88BD6-8767-48F4-B17F-A9B9A628E9C2}">
  <sheetPr codeName="Sheet3"/>
  <dimension ref="A1:V39"/>
  <sheetViews>
    <sheetView showGridLines="0" zoomScale="85" zoomScaleNormal="85" workbookViewId="0">
      <selection activeCell="I40" sqref="I40"/>
    </sheetView>
  </sheetViews>
  <sheetFormatPr defaultRowHeight="15" x14ac:dyDescent="0.25"/>
  <sheetData>
    <row r="1" spans="1:22" ht="23.25" x14ac:dyDescent="0.35">
      <c r="A1" s="12"/>
      <c r="B1" s="13"/>
      <c r="C1" s="5"/>
      <c r="D1" s="5"/>
      <c r="E1" s="5"/>
      <c r="F1" s="5"/>
      <c r="G1" s="5"/>
      <c r="H1" s="5"/>
      <c r="I1" s="5"/>
      <c r="J1" s="5"/>
      <c r="K1" s="5"/>
      <c r="L1" s="5"/>
      <c r="M1" s="5"/>
      <c r="N1" s="5"/>
      <c r="O1" s="5"/>
      <c r="P1" s="5"/>
      <c r="Q1" s="5"/>
      <c r="R1" s="5"/>
      <c r="S1" s="5"/>
      <c r="T1" s="5"/>
      <c r="U1" s="5"/>
      <c r="V1" s="5"/>
    </row>
    <row r="2" spans="1:22" x14ac:dyDescent="0.25">
      <c r="A2" s="14"/>
      <c r="B2" s="14"/>
      <c r="C2" s="5"/>
      <c r="D2" s="5"/>
      <c r="E2" s="5"/>
      <c r="F2" s="5"/>
      <c r="G2" s="5"/>
      <c r="H2" s="5"/>
      <c r="I2" s="5"/>
      <c r="J2" s="5"/>
      <c r="K2" s="5"/>
      <c r="L2" s="5"/>
      <c r="M2" s="5"/>
      <c r="N2" s="5"/>
      <c r="O2" s="5"/>
      <c r="P2" s="5"/>
      <c r="Q2" s="5"/>
      <c r="R2" s="5"/>
      <c r="S2" s="5"/>
      <c r="T2" s="5"/>
      <c r="U2" s="5"/>
      <c r="V2" s="5"/>
    </row>
    <row r="3" spans="1:22" x14ac:dyDescent="0.25">
      <c r="A3" s="14"/>
      <c r="B3" s="14"/>
      <c r="C3" s="5"/>
      <c r="D3" s="5"/>
      <c r="E3" s="5"/>
      <c r="F3" s="5"/>
      <c r="G3" s="5"/>
      <c r="H3" s="5"/>
      <c r="I3" s="5"/>
      <c r="J3" s="5"/>
      <c r="K3" s="5"/>
      <c r="L3" s="5"/>
      <c r="M3" s="5"/>
      <c r="N3" s="5"/>
      <c r="O3" s="5"/>
      <c r="P3" s="5"/>
      <c r="Q3" s="5"/>
      <c r="R3" s="5"/>
      <c r="S3" s="5"/>
      <c r="T3" s="5"/>
      <c r="U3" s="5"/>
      <c r="V3" s="5"/>
    </row>
    <row r="4" spans="1:22" x14ac:dyDescent="0.25">
      <c r="A4" s="14"/>
      <c r="B4" s="14"/>
      <c r="C4" s="5"/>
      <c r="D4" s="5"/>
      <c r="E4" s="5"/>
      <c r="F4" s="5"/>
      <c r="G4" s="5"/>
      <c r="H4" s="5"/>
      <c r="I4" s="5"/>
      <c r="J4" s="5"/>
      <c r="K4" s="5"/>
      <c r="L4" s="5"/>
      <c r="M4" s="5"/>
      <c r="N4" s="5"/>
      <c r="O4" s="5"/>
      <c r="P4" s="5"/>
      <c r="Q4" s="5"/>
      <c r="R4" s="5"/>
      <c r="S4" s="5"/>
      <c r="T4" s="5"/>
      <c r="U4" s="5"/>
      <c r="V4" s="5"/>
    </row>
    <row r="5" spans="1:22" x14ac:dyDescent="0.25">
      <c r="A5" s="14"/>
      <c r="B5" s="14"/>
      <c r="C5" s="5"/>
      <c r="D5" s="5"/>
      <c r="E5" s="5"/>
      <c r="F5" s="5"/>
      <c r="G5" s="5"/>
      <c r="H5" s="5"/>
      <c r="I5" s="5"/>
      <c r="J5" s="5"/>
      <c r="K5" s="5"/>
      <c r="L5" s="5"/>
      <c r="M5" s="5"/>
      <c r="N5" s="5"/>
      <c r="O5" s="5"/>
      <c r="P5" s="5"/>
      <c r="Q5" s="5"/>
      <c r="R5" s="5"/>
      <c r="S5" s="5"/>
      <c r="T5" s="5"/>
      <c r="U5" s="5"/>
      <c r="V5" s="5"/>
    </row>
    <row r="6" spans="1:22" x14ac:dyDescent="0.25">
      <c r="A6" s="14"/>
      <c r="B6" s="14"/>
      <c r="C6" s="5"/>
      <c r="D6" s="5"/>
      <c r="E6" s="5"/>
      <c r="F6" s="5"/>
      <c r="G6" s="5"/>
      <c r="H6" s="5"/>
      <c r="I6" s="5"/>
      <c r="J6" s="5"/>
      <c r="K6" s="5"/>
      <c r="L6" s="5"/>
      <c r="M6" s="5"/>
      <c r="N6" s="5"/>
      <c r="O6" s="5"/>
      <c r="P6" s="5"/>
      <c r="Q6" s="5"/>
      <c r="R6" s="5"/>
      <c r="S6" s="5"/>
      <c r="T6" s="5"/>
      <c r="U6" s="5"/>
      <c r="V6" s="5"/>
    </row>
    <row r="7" spans="1:22" x14ac:dyDescent="0.25">
      <c r="A7" s="14"/>
      <c r="B7" s="14"/>
      <c r="C7" s="5"/>
      <c r="D7" s="5"/>
      <c r="E7" s="5"/>
      <c r="F7" s="5"/>
      <c r="G7" s="5"/>
      <c r="H7" s="5"/>
      <c r="I7" s="5"/>
      <c r="J7" s="5"/>
      <c r="K7" s="5"/>
      <c r="L7" s="5"/>
      <c r="M7" s="5"/>
      <c r="N7" s="5"/>
      <c r="O7" s="5"/>
      <c r="P7" s="5"/>
      <c r="Q7" s="5"/>
      <c r="R7" s="5"/>
      <c r="S7" s="5"/>
      <c r="T7" s="5"/>
      <c r="U7" s="5"/>
      <c r="V7" s="5"/>
    </row>
    <row r="8" spans="1:22" x14ac:dyDescent="0.25">
      <c r="A8" s="14"/>
      <c r="B8" s="14"/>
      <c r="C8" s="5"/>
      <c r="D8" s="5"/>
      <c r="E8" s="5"/>
      <c r="F8" s="5"/>
      <c r="G8" s="5"/>
      <c r="H8" s="5"/>
      <c r="I8" s="5"/>
      <c r="J8" s="5"/>
      <c r="K8" s="5"/>
      <c r="L8" s="5"/>
      <c r="M8" s="5"/>
      <c r="N8" s="5"/>
      <c r="O8" s="5"/>
      <c r="P8" s="5"/>
      <c r="Q8" s="5"/>
      <c r="R8" s="5"/>
      <c r="S8" s="5"/>
      <c r="T8" s="5"/>
      <c r="U8" s="5"/>
      <c r="V8" s="5"/>
    </row>
    <row r="9" spans="1:22" x14ac:dyDescent="0.25">
      <c r="A9" s="14"/>
      <c r="B9" s="14"/>
      <c r="C9" s="5"/>
      <c r="D9" s="5"/>
      <c r="E9" s="5"/>
      <c r="F9" s="5"/>
      <c r="G9" s="5"/>
      <c r="H9" s="5"/>
      <c r="I9" s="5"/>
      <c r="J9" s="5"/>
      <c r="K9" s="5"/>
      <c r="L9" s="5"/>
      <c r="M9" s="5"/>
      <c r="N9" s="5"/>
      <c r="O9" s="5"/>
      <c r="P9" s="5"/>
      <c r="Q9" s="5"/>
      <c r="R9" s="5"/>
      <c r="S9" s="5"/>
      <c r="T9" s="5"/>
      <c r="U9" s="5"/>
      <c r="V9" s="5"/>
    </row>
    <row r="10" spans="1:22" x14ac:dyDescent="0.25">
      <c r="A10" s="14"/>
      <c r="B10" s="14"/>
      <c r="C10" s="5"/>
      <c r="D10" s="5"/>
      <c r="E10" s="5"/>
      <c r="F10" s="5"/>
      <c r="G10" s="5"/>
      <c r="H10" s="5"/>
      <c r="I10" s="5"/>
      <c r="J10" s="5"/>
      <c r="K10" s="5"/>
      <c r="L10" s="5"/>
      <c r="M10" s="5"/>
      <c r="N10" s="5"/>
      <c r="O10" s="5"/>
      <c r="P10" s="5"/>
      <c r="Q10" s="5"/>
      <c r="R10" s="5"/>
      <c r="S10" s="5"/>
      <c r="T10" s="5"/>
      <c r="U10" s="5"/>
      <c r="V10" s="5"/>
    </row>
    <row r="11" spans="1:22" x14ac:dyDescent="0.25">
      <c r="A11" s="14"/>
      <c r="B11" s="14"/>
      <c r="C11" s="5"/>
      <c r="D11" s="5"/>
      <c r="E11" s="5"/>
      <c r="F11" s="5"/>
      <c r="G11" s="5"/>
      <c r="H11" s="5"/>
      <c r="I11" s="5"/>
      <c r="J11" s="5"/>
      <c r="K11" s="5"/>
      <c r="L11" s="5"/>
      <c r="M11" s="5"/>
      <c r="N11" s="5"/>
      <c r="O11" s="5"/>
      <c r="P11" s="5"/>
      <c r="Q11" s="5"/>
      <c r="R11" s="5"/>
      <c r="S11" s="5"/>
      <c r="T11" s="5"/>
      <c r="U11" s="5"/>
      <c r="V11" s="5"/>
    </row>
    <row r="12" spans="1:22" x14ac:dyDescent="0.25">
      <c r="A12" s="14"/>
      <c r="B12" s="14"/>
      <c r="C12" s="5"/>
      <c r="D12" s="5"/>
      <c r="E12" s="5"/>
      <c r="F12" s="5"/>
      <c r="G12" s="5"/>
      <c r="H12" s="5"/>
      <c r="I12" s="5"/>
      <c r="J12" s="5"/>
      <c r="K12" s="5"/>
      <c r="L12" s="5"/>
      <c r="M12" s="5"/>
      <c r="N12" s="5"/>
      <c r="O12" s="5"/>
      <c r="P12" s="5"/>
      <c r="Q12" s="5"/>
      <c r="R12" s="5"/>
      <c r="S12" s="5"/>
      <c r="T12" s="5"/>
      <c r="U12" s="5"/>
      <c r="V12" s="5"/>
    </row>
    <row r="13" spans="1:22" x14ac:dyDescent="0.25">
      <c r="A13" s="14"/>
      <c r="B13" s="14"/>
      <c r="C13" s="5"/>
      <c r="D13" s="5"/>
      <c r="E13" s="5"/>
      <c r="F13" s="5"/>
      <c r="G13" s="5"/>
      <c r="H13" s="5"/>
      <c r="I13" s="5"/>
      <c r="J13" s="5"/>
      <c r="K13" s="5"/>
      <c r="L13" s="5"/>
      <c r="M13" s="5"/>
      <c r="N13" s="5"/>
      <c r="O13" s="5"/>
      <c r="P13" s="5"/>
      <c r="Q13" s="5"/>
      <c r="R13" s="5"/>
      <c r="S13" s="5"/>
      <c r="T13" s="5"/>
      <c r="U13" s="5"/>
      <c r="V13" s="5"/>
    </row>
    <row r="14" spans="1:22" x14ac:dyDescent="0.25">
      <c r="A14" s="14"/>
      <c r="B14" s="14"/>
      <c r="C14" s="5"/>
      <c r="D14" s="5"/>
      <c r="E14" s="5"/>
      <c r="F14" s="5"/>
      <c r="G14" s="5"/>
      <c r="H14" s="5"/>
      <c r="I14" s="5"/>
      <c r="J14" s="5"/>
      <c r="K14" s="5"/>
      <c r="L14" s="5"/>
      <c r="M14" s="5"/>
      <c r="N14" s="5"/>
      <c r="O14" s="5"/>
      <c r="P14" s="5"/>
      <c r="Q14" s="5"/>
      <c r="R14" s="5"/>
      <c r="S14" s="5"/>
      <c r="T14" s="5"/>
      <c r="U14" s="5"/>
      <c r="V14" s="5"/>
    </row>
    <row r="15" spans="1:22" x14ac:dyDescent="0.25">
      <c r="A15" s="14"/>
      <c r="B15" s="14"/>
      <c r="C15" s="5"/>
      <c r="D15" s="5"/>
      <c r="E15" s="5"/>
      <c r="F15" s="5"/>
      <c r="G15" s="5"/>
      <c r="H15" s="5"/>
      <c r="I15" s="5"/>
      <c r="J15" s="5"/>
      <c r="K15" s="5"/>
      <c r="L15" s="5"/>
      <c r="M15" s="5"/>
      <c r="N15" s="5"/>
      <c r="O15" s="5"/>
      <c r="P15" s="5"/>
      <c r="Q15" s="5"/>
      <c r="R15" s="5"/>
      <c r="S15" s="5"/>
      <c r="T15" s="5"/>
      <c r="U15" s="5"/>
      <c r="V15" s="5"/>
    </row>
    <row r="16" spans="1:22" x14ac:dyDescent="0.25">
      <c r="A16" s="14"/>
      <c r="B16" s="14"/>
      <c r="C16" s="5"/>
      <c r="D16" s="5"/>
      <c r="E16" s="5"/>
      <c r="F16" s="5"/>
      <c r="G16" s="5"/>
      <c r="H16" s="5"/>
      <c r="I16" s="5"/>
      <c r="J16" s="5"/>
      <c r="K16" s="5"/>
      <c r="L16" s="5"/>
      <c r="M16" s="5"/>
      <c r="N16" s="5"/>
      <c r="O16" s="5"/>
      <c r="P16" s="5"/>
      <c r="Q16" s="5"/>
      <c r="R16" s="5"/>
      <c r="S16" s="5"/>
      <c r="T16" s="5"/>
      <c r="U16" s="5"/>
      <c r="V16" s="5"/>
    </row>
    <row r="17" spans="1:22" x14ac:dyDescent="0.25">
      <c r="A17" s="14"/>
      <c r="B17" s="14"/>
      <c r="C17" s="5"/>
      <c r="D17" s="5"/>
      <c r="E17" s="5"/>
      <c r="F17" s="5"/>
      <c r="G17" s="5"/>
      <c r="H17" s="5"/>
      <c r="I17" s="5"/>
      <c r="J17" s="5"/>
      <c r="K17" s="5"/>
      <c r="L17" s="5"/>
      <c r="M17" s="5"/>
      <c r="N17" s="5"/>
      <c r="O17" s="5"/>
      <c r="P17" s="5"/>
      <c r="Q17" s="5"/>
      <c r="R17" s="5"/>
      <c r="S17" s="5"/>
      <c r="T17" s="5"/>
      <c r="U17" s="5"/>
      <c r="V17" s="5"/>
    </row>
    <row r="18" spans="1:22" x14ac:dyDescent="0.25">
      <c r="A18" s="14"/>
      <c r="B18" s="14"/>
      <c r="C18" s="5"/>
      <c r="D18" s="5"/>
      <c r="E18" s="5"/>
      <c r="F18" s="5"/>
      <c r="G18" s="5"/>
      <c r="H18" s="5"/>
      <c r="I18" s="5"/>
      <c r="J18" s="5"/>
      <c r="K18" s="5"/>
      <c r="L18" s="5"/>
      <c r="M18" s="5"/>
      <c r="N18" s="5"/>
      <c r="O18" s="5"/>
      <c r="P18" s="5"/>
      <c r="Q18" s="5"/>
      <c r="R18" s="5"/>
      <c r="S18" s="5"/>
      <c r="T18" s="5"/>
      <c r="U18" s="5"/>
      <c r="V18" s="5"/>
    </row>
    <row r="19" spans="1:22" x14ac:dyDescent="0.25">
      <c r="A19" s="14"/>
      <c r="B19" s="14"/>
      <c r="C19" s="5"/>
      <c r="D19" s="5"/>
      <c r="E19" s="5"/>
      <c r="F19" s="5"/>
      <c r="G19" s="5"/>
      <c r="H19" s="5"/>
      <c r="I19" s="5"/>
      <c r="J19" s="5"/>
      <c r="K19" s="5"/>
      <c r="L19" s="5"/>
      <c r="M19" s="5"/>
      <c r="N19" s="5"/>
      <c r="O19" s="5"/>
      <c r="P19" s="5"/>
      <c r="Q19" s="5"/>
      <c r="R19" s="5"/>
      <c r="S19" s="5"/>
      <c r="T19" s="5"/>
      <c r="U19" s="5"/>
      <c r="V19" s="5"/>
    </row>
    <row r="20" spans="1:22" x14ac:dyDescent="0.25">
      <c r="A20" s="14"/>
      <c r="B20" s="14"/>
      <c r="C20" s="5"/>
      <c r="D20" s="5"/>
      <c r="E20" s="5"/>
      <c r="F20" s="5"/>
      <c r="G20" s="5"/>
      <c r="H20" s="5"/>
      <c r="I20" s="5"/>
      <c r="J20" s="5"/>
      <c r="K20" s="5"/>
      <c r="L20" s="5"/>
      <c r="M20" s="5"/>
      <c r="N20" s="5"/>
      <c r="O20" s="5"/>
      <c r="P20" s="5"/>
      <c r="Q20" s="5"/>
      <c r="R20" s="5"/>
      <c r="S20" s="5"/>
      <c r="T20" s="5"/>
      <c r="U20" s="5"/>
      <c r="V20" s="5"/>
    </row>
    <row r="21" spans="1:22" x14ac:dyDescent="0.25">
      <c r="A21" s="14"/>
      <c r="B21" s="14"/>
      <c r="C21" s="5"/>
      <c r="D21" s="5"/>
      <c r="E21" s="5"/>
      <c r="F21" s="5"/>
      <c r="G21" s="5"/>
      <c r="H21" s="5"/>
      <c r="I21" s="5"/>
      <c r="J21" s="5"/>
      <c r="K21" s="5"/>
      <c r="L21" s="5"/>
      <c r="M21" s="5"/>
      <c r="N21" s="5"/>
      <c r="O21" s="5"/>
      <c r="P21" s="5"/>
      <c r="Q21" s="5"/>
      <c r="R21" s="5"/>
      <c r="S21" s="5"/>
      <c r="T21" s="5"/>
      <c r="U21" s="5"/>
      <c r="V21" s="5"/>
    </row>
    <row r="22" spans="1:22" x14ac:dyDescent="0.25">
      <c r="A22" s="14"/>
      <c r="B22" s="14"/>
      <c r="C22" s="5"/>
      <c r="D22" s="5"/>
      <c r="E22" s="5"/>
      <c r="F22" s="5"/>
      <c r="G22" s="5"/>
      <c r="H22" s="5"/>
      <c r="I22" s="5"/>
      <c r="J22" s="5"/>
      <c r="K22" s="5"/>
      <c r="L22" s="5"/>
      <c r="M22" s="5"/>
      <c r="N22" s="5"/>
      <c r="O22" s="5"/>
      <c r="P22" s="5"/>
      <c r="Q22" s="5"/>
      <c r="R22" s="5"/>
      <c r="S22" s="5"/>
      <c r="T22" s="5"/>
      <c r="U22" s="5"/>
      <c r="V22" s="5"/>
    </row>
    <row r="23" spans="1:22" x14ac:dyDescent="0.25">
      <c r="A23" s="14"/>
      <c r="B23" s="14"/>
      <c r="C23" s="5"/>
      <c r="D23" s="5"/>
      <c r="E23" s="5"/>
      <c r="F23" s="5"/>
      <c r="G23" s="5"/>
      <c r="H23" s="5"/>
      <c r="I23" s="5"/>
      <c r="J23" s="5"/>
      <c r="K23" s="5"/>
      <c r="L23" s="5"/>
      <c r="M23" s="5"/>
      <c r="N23" s="5"/>
      <c r="O23" s="5"/>
      <c r="P23" s="5"/>
      <c r="Q23" s="5"/>
      <c r="R23" s="5"/>
      <c r="S23" s="5"/>
      <c r="T23" s="5"/>
      <c r="U23" s="5"/>
      <c r="V23" s="5"/>
    </row>
    <row r="24" spans="1:22" x14ac:dyDescent="0.25">
      <c r="A24" s="14"/>
      <c r="B24" s="14"/>
      <c r="C24" s="5"/>
      <c r="D24" s="5"/>
      <c r="E24" s="5"/>
      <c r="F24" s="5"/>
      <c r="G24" s="5"/>
      <c r="H24" s="5"/>
      <c r="I24" s="5"/>
      <c r="J24" s="5"/>
      <c r="K24" s="5"/>
      <c r="L24" s="5"/>
      <c r="M24" s="5"/>
      <c r="N24" s="5"/>
      <c r="O24" s="5"/>
      <c r="P24" s="5"/>
      <c r="Q24" s="5"/>
      <c r="R24" s="5"/>
      <c r="S24" s="5"/>
      <c r="T24" s="5"/>
      <c r="U24" s="5"/>
      <c r="V24" s="5"/>
    </row>
    <row r="25" spans="1:22" x14ac:dyDescent="0.25">
      <c r="A25" s="14"/>
      <c r="B25" s="14"/>
      <c r="C25" s="5"/>
      <c r="D25" s="5"/>
      <c r="E25" s="5"/>
      <c r="F25" s="5"/>
      <c r="G25" s="5"/>
      <c r="H25" s="5"/>
      <c r="I25" s="5"/>
      <c r="J25" s="5"/>
      <c r="K25" s="5"/>
      <c r="L25" s="5"/>
      <c r="M25" s="5"/>
      <c r="N25" s="5"/>
      <c r="O25" s="5"/>
      <c r="P25" s="5"/>
      <c r="Q25" s="5"/>
      <c r="R25" s="5"/>
      <c r="S25" s="5"/>
      <c r="T25" s="5"/>
      <c r="U25" s="5"/>
      <c r="V25" s="5"/>
    </row>
    <row r="26" spans="1:22" x14ac:dyDescent="0.25">
      <c r="A26" s="14"/>
      <c r="B26" s="14"/>
      <c r="C26" s="5"/>
      <c r="D26" s="5"/>
      <c r="E26" s="5"/>
      <c r="F26" s="5"/>
      <c r="G26" s="5"/>
      <c r="H26" s="5"/>
      <c r="I26" s="5"/>
      <c r="J26" s="5"/>
      <c r="K26" s="5"/>
      <c r="L26" s="5"/>
      <c r="M26" s="5"/>
      <c r="N26" s="5"/>
      <c r="O26" s="5"/>
      <c r="P26" s="5"/>
      <c r="Q26" s="5"/>
      <c r="R26" s="5"/>
      <c r="S26" s="5"/>
      <c r="T26" s="5"/>
      <c r="U26" s="5"/>
      <c r="V26" s="5"/>
    </row>
    <row r="27" spans="1:22" x14ac:dyDescent="0.25">
      <c r="A27" s="14"/>
      <c r="B27" s="14"/>
      <c r="C27" s="5"/>
      <c r="D27" s="5"/>
      <c r="E27" s="5"/>
      <c r="F27" s="5"/>
      <c r="G27" s="5"/>
      <c r="H27" s="5"/>
      <c r="I27" s="5"/>
      <c r="J27" s="5"/>
      <c r="K27" s="5"/>
      <c r="L27" s="5"/>
      <c r="M27" s="5"/>
      <c r="N27" s="5"/>
      <c r="O27" s="5"/>
      <c r="P27" s="5"/>
      <c r="Q27" s="5"/>
      <c r="R27" s="5"/>
      <c r="S27" s="5"/>
      <c r="T27" s="5"/>
      <c r="U27" s="5"/>
      <c r="V27" s="5"/>
    </row>
    <row r="28" spans="1:22" x14ac:dyDescent="0.25">
      <c r="A28" s="14"/>
      <c r="B28" s="14"/>
      <c r="C28" s="5"/>
      <c r="D28" s="5"/>
      <c r="E28" s="5"/>
      <c r="F28" s="5"/>
      <c r="G28" s="5"/>
      <c r="H28" s="5"/>
      <c r="I28" s="5"/>
      <c r="J28" s="5"/>
      <c r="K28" s="5"/>
      <c r="L28" s="5"/>
      <c r="M28" s="5"/>
      <c r="N28" s="5"/>
      <c r="O28" s="5"/>
      <c r="P28" s="5"/>
      <c r="Q28" s="5"/>
      <c r="R28" s="5"/>
      <c r="S28" s="5"/>
      <c r="T28" s="5"/>
      <c r="U28" s="5"/>
      <c r="V28" s="5"/>
    </row>
    <row r="29" spans="1:22" x14ac:dyDescent="0.25">
      <c r="A29" s="14"/>
      <c r="B29" s="14"/>
      <c r="C29" s="5"/>
      <c r="D29" s="5"/>
      <c r="E29" s="5"/>
      <c r="F29" s="5"/>
      <c r="G29" s="5"/>
      <c r="H29" s="5"/>
      <c r="I29" s="5"/>
      <c r="J29" s="5"/>
      <c r="K29" s="5"/>
      <c r="L29" s="5"/>
      <c r="M29" s="5"/>
      <c r="N29" s="5"/>
      <c r="O29" s="5"/>
      <c r="P29" s="5"/>
      <c r="Q29" s="5"/>
      <c r="R29" s="5"/>
      <c r="S29" s="5"/>
      <c r="T29" s="5"/>
      <c r="U29" s="5"/>
      <c r="V29" s="5"/>
    </row>
    <row r="30" spans="1:22" x14ac:dyDescent="0.25">
      <c r="A30" s="14"/>
      <c r="B30" s="14"/>
      <c r="C30" s="5"/>
      <c r="D30" s="5"/>
      <c r="E30" s="5"/>
      <c r="F30" s="5"/>
      <c r="G30" s="5"/>
      <c r="H30" s="5"/>
      <c r="I30" s="5"/>
      <c r="J30" s="5"/>
      <c r="K30" s="5"/>
      <c r="L30" s="5"/>
      <c r="M30" s="5"/>
      <c r="N30" s="5"/>
      <c r="O30" s="5"/>
      <c r="P30" s="5"/>
      <c r="Q30" s="5"/>
      <c r="R30" s="5"/>
      <c r="S30" s="5"/>
      <c r="T30" s="5"/>
      <c r="U30" s="5"/>
      <c r="V30" s="5"/>
    </row>
    <row r="31" spans="1:22" x14ac:dyDescent="0.25">
      <c r="A31" s="14"/>
      <c r="B31" s="14"/>
      <c r="C31" s="5"/>
      <c r="D31" s="5"/>
      <c r="E31" s="5"/>
      <c r="F31" s="5"/>
      <c r="G31" s="5"/>
      <c r="H31" s="5"/>
      <c r="I31" s="5"/>
      <c r="J31" s="5"/>
      <c r="K31" s="5"/>
      <c r="L31" s="5"/>
      <c r="M31" s="5"/>
      <c r="N31" s="5"/>
      <c r="O31" s="5"/>
      <c r="P31" s="5"/>
      <c r="Q31" s="5"/>
      <c r="R31" s="5"/>
      <c r="S31" s="5"/>
      <c r="T31" s="5"/>
      <c r="U31" s="5"/>
      <c r="V31" s="5"/>
    </row>
    <row r="32" spans="1:22" x14ac:dyDescent="0.25">
      <c r="A32" s="14"/>
      <c r="B32" s="14"/>
      <c r="C32" s="5"/>
      <c r="D32" s="5"/>
      <c r="E32" s="5"/>
      <c r="F32" s="5"/>
      <c r="G32" s="5"/>
      <c r="H32" s="5"/>
      <c r="I32" s="5"/>
      <c r="J32" s="5"/>
      <c r="K32" s="5"/>
      <c r="L32" s="5"/>
      <c r="M32" s="5"/>
      <c r="N32" s="5"/>
      <c r="O32" s="5"/>
      <c r="P32" s="5"/>
      <c r="Q32" s="5"/>
      <c r="R32" s="5"/>
      <c r="S32" s="5"/>
      <c r="T32" s="5"/>
      <c r="U32" s="5"/>
      <c r="V32" s="5"/>
    </row>
    <row r="33" spans="1:22" x14ac:dyDescent="0.25">
      <c r="A33" s="14"/>
      <c r="B33" s="14"/>
      <c r="C33" s="5"/>
      <c r="D33" s="5"/>
      <c r="E33" s="5"/>
      <c r="F33" s="5"/>
      <c r="G33" s="5"/>
      <c r="H33" s="5"/>
      <c r="I33" s="5"/>
      <c r="J33" s="5"/>
      <c r="K33" s="5"/>
      <c r="L33" s="5"/>
      <c r="M33" s="5"/>
      <c r="N33" s="5"/>
      <c r="O33" s="5"/>
      <c r="P33" s="5"/>
      <c r="Q33" s="5"/>
      <c r="R33" s="5"/>
      <c r="S33" s="5"/>
      <c r="T33" s="5"/>
      <c r="U33" s="5"/>
      <c r="V33" s="5"/>
    </row>
    <row r="34" spans="1:22" x14ac:dyDescent="0.25">
      <c r="A34" s="14"/>
      <c r="B34" s="14"/>
      <c r="C34" s="5"/>
      <c r="D34" s="5"/>
      <c r="E34" s="5"/>
      <c r="F34" s="5"/>
      <c r="G34" s="5"/>
      <c r="H34" s="5"/>
      <c r="I34" s="5"/>
      <c r="J34" s="5"/>
      <c r="K34" s="5"/>
      <c r="L34" s="5"/>
      <c r="M34" s="5"/>
      <c r="N34" s="5"/>
      <c r="O34" s="5"/>
      <c r="P34" s="5"/>
      <c r="Q34" s="5"/>
      <c r="R34" s="5"/>
      <c r="S34" s="5"/>
      <c r="T34" s="5"/>
      <c r="U34" s="5"/>
      <c r="V34" s="5"/>
    </row>
    <row r="35" spans="1:22" x14ac:dyDescent="0.25">
      <c r="A35" s="14"/>
      <c r="B35" s="14"/>
      <c r="C35" s="5"/>
      <c r="D35" s="5"/>
      <c r="E35" s="5"/>
      <c r="F35" s="5"/>
      <c r="G35" s="5"/>
      <c r="H35" s="5"/>
      <c r="I35" s="5"/>
      <c r="J35" s="5"/>
      <c r="K35" s="5"/>
      <c r="L35" s="5"/>
      <c r="M35" s="5"/>
      <c r="N35" s="5"/>
      <c r="O35" s="5"/>
      <c r="P35" s="5"/>
      <c r="Q35" s="5"/>
      <c r="R35" s="5"/>
      <c r="S35" s="5"/>
      <c r="T35" s="5"/>
      <c r="U35" s="5"/>
      <c r="V35" s="5"/>
    </row>
    <row r="36" spans="1:22" x14ac:dyDescent="0.25">
      <c r="A36" s="14"/>
      <c r="B36" s="14"/>
      <c r="C36" s="5"/>
      <c r="D36" s="5"/>
      <c r="E36" s="5"/>
      <c r="F36" s="5"/>
      <c r="G36" s="5"/>
      <c r="H36" s="5"/>
      <c r="I36" s="5"/>
      <c r="J36" s="5"/>
      <c r="K36" s="5"/>
      <c r="L36" s="5"/>
      <c r="M36" s="5"/>
      <c r="N36" s="5"/>
      <c r="O36" s="5"/>
      <c r="P36" s="5"/>
      <c r="Q36" s="5"/>
      <c r="R36" s="5"/>
      <c r="S36" s="5"/>
      <c r="T36" s="5"/>
      <c r="U36" s="5"/>
      <c r="V36" s="5"/>
    </row>
    <row r="37" spans="1:22" x14ac:dyDescent="0.25">
      <c r="A37" s="14"/>
      <c r="B37" s="14"/>
      <c r="C37" s="5"/>
      <c r="D37" s="5"/>
      <c r="E37" s="5"/>
      <c r="F37" s="5"/>
      <c r="G37" s="5"/>
      <c r="H37" s="5"/>
      <c r="I37" s="5"/>
      <c r="J37" s="5"/>
      <c r="K37" s="5"/>
      <c r="L37" s="5"/>
      <c r="M37" s="5"/>
      <c r="N37" s="5"/>
      <c r="O37" s="5"/>
      <c r="P37" s="5"/>
      <c r="Q37" s="5"/>
      <c r="R37" s="5"/>
      <c r="S37" s="5"/>
      <c r="T37" s="5"/>
      <c r="U37" s="5"/>
      <c r="V37" s="5"/>
    </row>
    <row r="38" spans="1:22" x14ac:dyDescent="0.25">
      <c r="A38" s="14"/>
      <c r="B38" s="14"/>
      <c r="C38" s="5"/>
      <c r="D38" s="5"/>
      <c r="E38" s="5"/>
      <c r="F38" s="5"/>
      <c r="G38" s="5"/>
      <c r="H38" s="5"/>
      <c r="I38" s="5"/>
      <c r="J38" s="5"/>
      <c r="K38" s="5"/>
      <c r="L38" s="5"/>
      <c r="M38" s="5"/>
      <c r="N38" s="5"/>
      <c r="O38" s="5"/>
      <c r="P38" s="5"/>
      <c r="Q38" s="5"/>
      <c r="R38" s="5"/>
      <c r="S38" s="5"/>
      <c r="T38" s="5"/>
      <c r="U38" s="5"/>
      <c r="V38" s="5"/>
    </row>
    <row r="39" spans="1:22" x14ac:dyDescent="0.25">
      <c r="A39" s="14"/>
      <c r="B39" s="14"/>
      <c r="C39" s="5"/>
      <c r="D39" s="5"/>
      <c r="E39" s="5"/>
      <c r="F39" s="5"/>
      <c r="G39" s="5"/>
      <c r="H39" s="5"/>
      <c r="I39" s="5"/>
      <c r="J39" s="5"/>
      <c r="K39" s="5"/>
      <c r="L39" s="5"/>
      <c r="M39" s="5"/>
      <c r="N39" s="5"/>
      <c r="O39" s="5"/>
      <c r="P39" s="5"/>
      <c r="Q39" s="5"/>
      <c r="R39" s="5"/>
      <c r="S39" s="5"/>
      <c r="T39" s="5"/>
      <c r="U39" s="5"/>
      <c r="V39"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Form</vt:lpstr>
      <vt:lpstr>Employee Distribution by Depart</vt:lpstr>
      <vt:lpstr>Total Salary per Job Role</vt:lpstr>
      <vt:lpstr>Gender Distribution</vt:lpstr>
      <vt:lpstr>DataBase</vt:lpstr>
      <vt:lpstr>Dashboard</vt:lpstr>
      <vt:lpstr>Form!Print_Area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3D</dc:creator>
  <cp:lastModifiedBy>Mustafa Oun</cp:lastModifiedBy>
  <dcterms:created xsi:type="dcterms:W3CDTF">2015-06-05T18:17:20Z</dcterms:created>
  <dcterms:modified xsi:type="dcterms:W3CDTF">2025-07-11T17:49:26Z</dcterms:modified>
</cp:coreProperties>
</file>